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c5cb8fc22049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법" sheetId="1" r:id="R0c87c4ff55374d74"/>
    <x:sheet xmlns:r="http://schemas.openxmlformats.org/officeDocument/2006/relationships" name="입력데이터" sheetId="2" r:id="R23da3edd66404a52"/>
    <x:sheet xmlns:r="http://schemas.openxmlformats.org/officeDocument/2006/relationships" name="계산결과" sheetId="3" r:id="R358f78ade0d644c2"/>
    <x:sheet xmlns:r="http://schemas.openxmlformats.org/officeDocument/2006/relationships" name="공식표" sheetId="4" r:id="R60e491fd2be94c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61B4F"/>
      </x:patternFill>
    </x:fill>
  </x:fills>
  <x:borders count="16">
    <x:border/>
    <x:border>
      <x:right style="thin">
        <x:color rgb="FFD9DEE8"/>
      </x:right>
      <x:bottom style="thin">
        <x:color rgb="FFD9DEE8"/>
      </x:bottom>
    </x:border>
    <x:border>
      <x:left style="thin">
        <x:color rgb="FFD9DEE8"/>
      </x:left>
      <x:bottom style="thin">
        <x:color rgb="FFD9DEE8"/>
      </x:bottom>
    </x:border>
    <x:border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left style="thin">
        <x:color rgb="FFD9DEE8"/>
      </x:left>
      <x:top style="thin">
        <x:color rgb="FFD9DEE8"/>
      </x:top>
      <x:bottom style="thin">
        <x:color rgb="FFD9DEE8"/>
      </x:bottom>
    </x:border>
    <x:border>
      <x:right style="thin">
        <x:color rgb="FFD9DEE8"/>
      </x:right>
      <x:top style="thin">
        <x:color rgb="FFD9DEE8"/>
      </x:top>
    </x:border>
    <x:border>
      <x:left style="thin">
        <x:color rgb="FFD9DEE8"/>
      </x:left>
      <x:top style="thin">
        <x:color rgb="FFD9DEE8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2" borderId="7" xfId="0" applyNumberFormat="1" applyFont="1" applyFill="1" applyBorder="1"/>
    <x:xf numFmtId="0" fontId="2" fillId="2" borderId="8" xfId="0" applyNumberFormat="1" applyFont="1" applyFill="1" applyBorder="1"/>
    <x:xf numFmtId="0" fontId="2" fillId="2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11" xfId="0" applyNumberFormat="1" applyFont="1" applyFill="1" applyBorder="1"/>
    <x:xf numFmtId="200" fontId="0" fillId="0" borderId="14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c4c2b9b5fd4df1" /><Relationship Type="http://schemas.openxmlformats.org/officeDocument/2006/relationships/theme" Target="/xl/theme/theme1.xml" Id="R4172f6efa2094b9f" /><Relationship Type="http://schemas.openxmlformats.org/officeDocument/2006/relationships/sharedStrings" Target="/xl/sharedStrings.xml" Id="R87392b7853cb49d4" /><Relationship Type="http://schemas.openxmlformats.org/officeDocument/2006/relationships/worksheet" Target="/xl/worksheets/sheet1.xml" Id="R0c87c4ff55374d74" /><Relationship Type="http://schemas.openxmlformats.org/officeDocument/2006/relationships/worksheet" Target="/xl/worksheets/sheet2.xml" Id="R23da3edd66404a52" /><Relationship Type="http://schemas.openxmlformats.org/officeDocument/2006/relationships/worksheet" Target="/xl/worksheets/sheet3.xml" Id="R358f78ade0d644c2" /><Relationship Type="http://schemas.openxmlformats.org/officeDocument/2006/relationships/worksheet" Target="/xl/worksheets/sheet4.xml" Id="R60e491fd2be94c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5" hidden="0" customWidth="1"/>
  </x:cols>
  <x:sheetData>
    <x:row r="1">
      <x:c r="A1" s="2" t="str">
        <x:v>KBL 능력치 공식 계산기</x:v>
      </x:c>
      <x:c r="B1" s="10"/>
    </x:row>
    <x:row r="3">
      <x:c r="A3" s="4" t="str">
        <x:v>1</x:v>
      </x:c>
      <x:c r="B3" s="5" t="str">
        <x:v>입력데이터 시트에 선수 기본정보와 경기 기록을 붙여넣습니다.</x:v>
      </x:c>
    </x:row>
    <x:row r="4">
      <x:c r="A4" s="6" t="str">
        <x:v>2</x:v>
      </x:c>
      <x:c r="B4" s="7" t="str">
        <x:v>계산결과 시트에서 기록 기반 능력치가 자동 계산됩니다.</x:v>
      </x:c>
    </x:row>
    <x:row r="5">
      <x:c r="A5" s="6" t="str">
        <x:v>3</x:v>
      </x:c>
      <x:c r="B5" s="7" t="str">
        <x:v>현재능력, 잠재능력, 히든 능력치는 이 파일에서 계산하지 않습니다.</x:v>
      </x:c>
    </x:row>
    <x:row r="6">
      <x:c r="A6" s="6" t="str">
        <x:v>4</x:v>
      </x:c>
      <x:c r="B6" s="7" t="str">
        <x:v>정규화는 입력데이터 시트에 들어간 선수 풀 기준으로 계산됩니다.</x:v>
      </x:c>
    </x:row>
    <x:row r="7">
      <x:c r="A7" s="6" t="str">
        <x:v>5</x:v>
      </x:c>
      <x:c r="B7" s="7" t="str">
        <x:v>SAST, DFL 등 빈 기록은 0으로 계산됩니다.</x:v>
      </x:c>
    </x:row>
    <x:row r="8">
      <x:c r="A8" s="8" t="str">
        <x:v>6</x:v>
      </x:c>
      <x:c r="B8" s="9" t="str">
        <x:v>KBL_stat.xlsx를 참조하지 않는 독립 계산 파일입니다.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380000114440918" hidden="0" customWidth="1"/>
    <x:col min="2" max="2" width="4.25" hidden="0" customWidth="1"/>
    <x:col min="3" max="3" width="5.880000114440918" hidden="0" customWidth="1"/>
    <x:col min="4" max="4" width="7.880000114440918" hidden="0" customWidth="1"/>
    <x:col min="5" max="5" width="4.25" hidden="0" customWidth="1"/>
    <x:col min="6" max="6" width="6" hidden="0" customWidth="1"/>
    <x:col min="7" max="7" width="8.25" hidden="0" customWidth="1"/>
    <x:col min="8" max="8" width="4.25" hidden="0" customWidth="1"/>
    <x:col min="9" max="9" width="4.25" hidden="0" customWidth="1"/>
    <x:col min="10" max="10" width="6" hidden="0" customWidth="1"/>
    <x:col min="11" max="11" width="6" hidden="0" customWidth="1"/>
    <x:col min="12" max="12" width="2.75" hidden="0" customWidth="1"/>
    <x:col min="13" max="13" width="2.25" hidden="0" customWidth="1"/>
    <x:col min="14" max="14" width="1.3799999952316284" hidden="0" customWidth="1"/>
    <x:col min="15" max="15" width="3.880000114440918" hidden="0" customWidth="1"/>
    <x:col min="16" max="16" width="3.25" hidden="0" customWidth="1"/>
    <x:col min="17" max="17" width="4.130000114440918" hidden="0" customWidth="1"/>
    <x:col min="18" max="18" width="3.5" hidden="0" customWidth="1"/>
    <x:col min="19" max="19" width="3.75" hidden="0" customWidth="1"/>
    <x:col min="20" max="20" width="4.130000114440918" hidden="0" customWidth="1"/>
    <x:col min="21" max="21" width="3.5" hidden="0" customWidth="1"/>
    <x:col min="22" max="22" width="3.75" hidden="0" customWidth="1"/>
    <x:col min="23" max="23" width="4.130000114440918" hidden="0" customWidth="1"/>
    <x:col min="24" max="24" width="3.630000114440918" hidden="0" customWidth="1"/>
    <x:col min="25" max="25" width="3.880000114440918" hidden="0" customWidth="1"/>
    <x:col min="26" max="26" width="3.880000114440918" hidden="0" customWidth="1"/>
    <x:col min="27" max="27" width="3.25" hidden="0" customWidth="1"/>
    <x:col min="28" max="28" width="3.630000114440918" hidden="0" customWidth="1"/>
    <x:col min="29" max="29" width="4.75" hidden="0" customWidth="1"/>
    <x:col min="30" max="30" width="4.630000114440918" hidden="0" customWidth="1"/>
    <x:col min="31" max="31" width="3.5" hidden="0" customWidth="1"/>
    <x:col min="32" max="32" width="3.380000114440918" hidden="0" customWidth="1"/>
    <x:col min="33" max="33" width="3.130000114440918" hidden="0" customWidth="1"/>
    <x:col min="34" max="34" width="3.380000114440918" hidden="0" customWidth="1"/>
    <x:col min="35" max="35" width="2.880000114440918" hidden="0" customWidth="1"/>
    <x:col min="36" max="36" width="2.75" hidden="0" customWidth="1"/>
    <x:col min="37" max="37" width="3.880000114440918" hidden="0" customWidth="1"/>
    <x:col min="38" max="38" width="2.630000114440918" hidden="0" customWidth="1"/>
    <x:col min="39" max="39" width="2.380000114440918" hidden="0" customWidth="1"/>
    <x:col min="40" max="40" width="2.5" hidden="0" customWidth="1"/>
    <x:col min="41" max="41" width="3.5" hidden="0" customWidth="1"/>
    <x:col min="42" max="42" width="3.880000114440918" hidden="0" customWidth="1"/>
    <x:col min="43" max="43" width="2.880000114440918" hidden="0" customWidth="1"/>
    <x:col min="44" max="44" width="3.75" hidden="0" customWidth="1"/>
    <x:col min="45" max="45" width="3.5" hidden="0" customWidth="1"/>
    <x:col min="46" max="46" width="4.25" hidden="0" customWidth="1"/>
    <x:col min="47" max="47" width="3.380000114440918" hidden="0" customWidth="1"/>
  </x:cols>
  <x:sheetData>
    <x:row r="1">
      <x:c r="A1" s="11" t="str">
        <x:v>팀</x:v>
      </x:c>
      <x:c r="B1" s="12" t="str">
        <x:v>선수</x:v>
      </x:c>
      <x:c r="C1" s="12" t="str">
        <x:v>선수ID</x:v>
      </x:c>
      <x:c r="D1" s="12" t="str">
        <x:v>생년월일</x:v>
      </x:c>
      <x:c r="E1" s="12" t="str">
        <x:v>국적</x:v>
      </x:c>
      <x:c r="F1" s="12" t="str">
        <x:v>출생지</x:v>
      </x:c>
      <x:c r="G1" s="12" t="str">
        <x:v>출신 대학</x:v>
      </x:c>
      <x:c r="H1" s="12" t="str">
        <x:v>신장</x:v>
      </x:c>
      <x:c r="I1" s="12" t="str">
        <x:v>체중</x:v>
      </x:c>
      <x:c r="J1" s="12" t="str">
        <x:v>윙스팬</x:v>
      </x:c>
      <x:c r="K1" s="12" t="str">
        <x:v>포지션</x:v>
      </x:c>
      <x:c r="L1" s="12" t="str">
        <x:v>GP</x:v>
      </x:c>
      <x:c r="M1" s="12" t="str">
        <x:v>W</x:v>
      </x:c>
      <x:c r="N1" s="12" t="str">
        <x:v>L</x:v>
      </x:c>
      <x:c r="O1" s="12" t="str">
        <x:v>MIN</x:v>
      </x:c>
      <x:c r="P1" s="12" t="str">
        <x:v>PTS</x:v>
      </x:c>
      <x:c r="Q1" s="12" t="str">
        <x:v>2PM</x:v>
      </x:c>
      <x:c r="R1" s="12" t="str">
        <x:v>2PA</x:v>
      </x:c>
      <x:c r="S1" s="12" t="str">
        <x:v>2P%</x:v>
      </x:c>
      <x:c r="T1" s="12" t="str">
        <x:v>3PM</x:v>
      </x:c>
      <x:c r="U1" s="12" t="str">
        <x:v>3PA</x:v>
      </x:c>
      <x:c r="V1" s="12" t="str">
        <x:v>3P%</x:v>
      </x:c>
      <x:c r="W1" s="12" t="str">
        <x:v>FGM</x:v>
      </x:c>
      <x:c r="X1" s="12" t="str">
        <x:v>FGA</x:v>
      </x:c>
      <x:c r="Y1" s="12" t="str">
        <x:v>FG%</x:v>
      </x:c>
      <x:c r="Z1" s="12" t="str">
        <x:v>FTM</x:v>
      </x:c>
      <x:c r="AA1" s="12" t="str">
        <x:v>FTA</x:v>
      </x:c>
      <x:c r="AB1" s="12" t="str">
        <x:v>FT%</x:v>
      </x:c>
      <x:c r="AC1" s="12" t="str">
        <x:v>OREB</x:v>
      </x:c>
      <x:c r="AD1" s="12" t="str">
        <x:v>DREB</x:v>
      </x:c>
      <x:c r="AE1" s="12" t="str">
        <x:v>REB</x:v>
      </x:c>
      <x:c r="AF1" s="12" t="str">
        <x:v>AST</x:v>
      </x:c>
      <x:c r="AG1" s="12" t="str">
        <x:v>STL</x:v>
      </x:c>
      <x:c r="AH1" s="12" t="str">
        <x:v>BLK</x:v>
      </x:c>
      <x:c r="AI1" s="12" t="str">
        <x:v>GD</x:v>
      </x:c>
      <x:c r="AJ1" s="12" t="str">
        <x:v>DK</x:v>
      </x:c>
      <x:c r="AK1" s="12" t="str">
        <x:v>DKA</x:v>
      </x:c>
      <x:c r="AL1" s="12" t="str">
        <x:v>TO</x:v>
      </x:c>
      <x:c r="AM1" s="12" t="str">
        <x:v>PF</x:v>
      </x:c>
      <x:c r="AN1" s="12" t="str">
        <x:v>PP</x:v>
      </x:c>
      <x:c r="AO1" s="12" t="str">
        <x:v>PPA</x:v>
      </x:c>
      <x:c r="AP1" s="12" t="str">
        <x:v>PP%</x:v>
      </x:c>
      <x:c r="AQ1" s="12" t="str">
        <x:v>+/-</x:v>
      </x:c>
      <x:c r="AR1" s="12" t="str">
        <x:v>DD2</x:v>
      </x:c>
      <x:c r="AS1" s="12" t="str">
        <x:v>TD3</x:v>
      </x:c>
      <x:c r="AT1" s="12" t="str">
        <x:v>SAST</x:v>
      </x:c>
      <x:c r="AU1" s="13" t="str">
        <x:v>DFL</x:v>
      </x:c>
    </x:row>
    <x:row r="2">
      <x:c r="A2" s="14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  <x:c r="AA2" s="15"/>
      <x:c r="AB2" s="15"/>
      <x:c r="AC2" s="15"/>
      <x:c r="AD2" s="15"/>
      <x:c r="AE2" s="15"/>
      <x:c r="AF2" s="15"/>
      <x:c r="AG2" s="15"/>
      <x:c r="AH2" s="15"/>
      <x:c r="AI2" s="15"/>
      <x:c r="AJ2" s="15"/>
      <x:c r="AK2" s="15"/>
      <x:c r="AL2" s="15"/>
      <x:c r="AM2" s="15"/>
      <x:c r="AN2" s="15"/>
      <x:c r="AO2" s="15"/>
      <x:c r="AP2" s="15"/>
      <x:c r="AQ2" s="15"/>
      <x:c r="AR2" s="15"/>
      <x:c r="AS2" s="15"/>
      <x:c r="AT2" s="15"/>
      <x:c r="AU2" s="16"/>
    </x:row>
    <x:row r="3">
      <x:c r="A3" s="14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  <x:c r="AA3" s="15"/>
      <x:c r="AB3" s="15"/>
      <x:c r="AC3" s="15"/>
      <x:c r="AD3" s="15"/>
      <x:c r="AE3" s="15"/>
      <x:c r="AF3" s="15"/>
      <x:c r="AG3" s="15"/>
      <x:c r="AH3" s="15"/>
      <x:c r="AI3" s="15"/>
      <x:c r="AJ3" s="15"/>
      <x:c r="AK3" s="15"/>
      <x:c r="AL3" s="15"/>
      <x:c r="AM3" s="15"/>
      <x:c r="AN3" s="15"/>
      <x:c r="AO3" s="15"/>
      <x:c r="AP3" s="15"/>
      <x:c r="AQ3" s="15"/>
      <x:c r="AR3" s="15"/>
      <x:c r="AS3" s="15"/>
      <x:c r="AT3" s="15"/>
      <x:c r="AU3" s="16"/>
    </x:row>
    <x:row r="4">
      <x:c r="A4" s="14"/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  <x:c r="AA4" s="15"/>
      <x:c r="AB4" s="15"/>
      <x:c r="AC4" s="15"/>
      <x:c r="AD4" s="15"/>
      <x:c r="AE4" s="15"/>
      <x:c r="AF4" s="15"/>
      <x:c r="AG4" s="15"/>
      <x:c r="AH4" s="15"/>
      <x:c r="AI4" s="15"/>
      <x:c r="AJ4" s="15"/>
      <x:c r="AK4" s="15"/>
      <x:c r="AL4" s="15"/>
      <x:c r="AM4" s="15"/>
      <x:c r="AN4" s="15"/>
      <x:c r="AO4" s="15"/>
      <x:c r="AP4" s="15"/>
      <x:c r="AQ4" s="15"/>
      <x:c r="AR4" s="15"/>
      <x:c r="AS4" s="15"/>
      <x:c r="AT4" s="15"/>
      <x:c r="AU4" s="16"/>
    </x:row>
    <x:row r="5">
      <x:c r="A5" s="14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  <x:c r="AA5" s="15"/>
      <x:c r="AB5" s="15"/>
      <x:c r="AC5" s="15"/>
      <x:c r="AD5" s="15"/>
      <x:c r="AE5" s="15"/>
      <x:c r="AF5" s="15"/>
      <x:c r="AG5" s="15"/>
      <x:c r="AH5" s="15"/>
      <x:c r="AI5" s="15"/>
      <x:c r="AJ5" s="15"/>
      <x:c r="AK5" s="15"/>
      <x:c r="AL5" s="15"/>
      <x:c r="AM5" s="15"/>
      <x:c r="AN5" s="15"/>
      <x:c r="AO5" s="15"/>
      <x:c r="AP5" s="15"/>
      <x:c r="AQ5" s="15"/>
      <x:c r="AR5" s="15"/>
      <x:c r="AS5" s="15"/>
      <x:c r="AT5" s="15"/>
      <x:c r="AU5" s="16"/>
    </x:row>
    <x:row r="6">
      <x:c r="A6" s="14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  <x:c r="AA6" s="15"/>
      <x:c r="AB6" s="15"/>
      <x:c r="AC6" s="15"/>
      <x:c r="AD6" s="15"/>
      <x:c r="AE6" s="15"/>
      <x:c r="AF6" s="15"/>
      <x:c r="AG6" s="15"/>
      <x:c r="AH6" s="15"/>
      <x:c r="AI6" s="15"/>
      <x:c r="AJ6" s="15"/>
      <x:c r="AK6" s="15"/>
      <x:c r="AL6" s="15"/>
      <x:c r="AM6" s="15"/>
      <x:c r="AN6" s="15"/>
      <x:c r="AO6" s="15"/>
      <x:c r="AP6" s="15"/>
      <x:c r="AQ6" s="15"/>
      <x:c r="AR6" s="15"/>
      <x:c r="AS6" s="15"/>
      <x:c r="AT6" s="15"/>
      <x:c r="AU6" s="16"/>
    </x:row>
    <x:row r="7">
      <x:c r="A7" s="14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  <x:c r="AA7" s="15"/>
      <x:c r="AB7" s="15"/>
      <x:c r="AC7" s="15"/>
      <x:c r="AD7" s="15"/>
      <x:c r="AE7" s="15"/>
      <x:c r="AF7" s="15"/>
      <x:c r="AG7" s="15"/>
      <x:c r="AH7" s="15"/>
      <x:c r="AI7" s="15"/>
      <x:c r="AJ7" s="15"/>
      <x:c r="AK7" s="15"/>
      <x:c r="AL7" s="15"/>
      <x:c r="AM7" s="15"/>
      <x:c r="AN7" s="15"/>
      <x:c r="AO7" s="15"/>
      <x:c r="AP7" s="15"/>
      <x:c r="AQ7" s="15"/>
      <x:c r="AR7" s="15"/>
      <x:c r="AS7" s="15"/>
      <x:c r="AT7" s="15"/>
      <x:c r="AU7" s="16"/>
    </x:row>
    <x:row r="8">
      <x:c r="A8" s="14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  <x:c r="AA8" s="15"/>
      <x:c r="AB8" s="15"/>
      <x:c r="AC8" s="15"/>
      <x:c r="AD8" s="15"/>
      <x:c r="AE8" s="15"/>
      <x:c r="AF8" s="15"/>
      <x:c r="AG8" s="15"/>
      <x:c r="AH8" s="15"/>
      <x:c r="AI8" s="15"/>
      <x:c r="AJ8" s="15"/>
      <x:c r="AK8" s="15"/>
      <x:c r="AL8" s="15"/>
      <x:c r="AM8" s="15"/>
      <x:c r="AN8" s="15"/>
      <x:c r="AO8" s="15"/>
      <x:c r="AP8" s="15"/>
      <x:c r="AQ8" s="15"/>
      <x:c r="AR8" s="15"/>
      <x:c r="AS8" s="15"/>
      <x:c r="AT8" s="15"/>
      <x:c r="AU8" s="16"/>
    </x:row>
    <x:row r="9">
      <x:c r="A9" s="14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  <x:c r="AA9" s="15"/>
      <x:c r="AB9" s="15"/>
      <x:c r="AC9" s="15"/>
      <x:c r="AD9" s="15"/>
      <x:c r="AE9" s="15"/>
      <x:c r="AF9" s="15"/>
      <x:c r="AG9" s="15"/>
      <x:c r="AH9" s="15"/>
      <x:c r="AI9" s="15"/>
      <x:c r="AJ9" s="15"/>
      <x:c r="AK9" s="15"/>
      <x:c r="AL9" s="15"/>
      <x:c r="AM9" s="15"/>
      <x:c r="AN9" s="15"/>
      <x:c r="AO9" s="15"/>
      <x:c r="AP9" s="15"/>
      <x:c r="AQ9" s="15"/>
      <x:c r="AR9" s="15"/>
      <x:c r="AS9" s="15"/>
      <x:c r="AT9" s="15"/>
      <x:c r="AU9" s="16"/>
    </x:row>
    <x:row r="10">
      <x:c r="A10" s="14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  <x:c r="AA10" s="15"/>
      <x:c r="AB10" s="15"/>
      <x:c r="AC10" s="15"/>
      <x:c r="AD10" s="15"/>
      <x:c r="AE10" s="15"/>
      <x:c r="AF10" s="15"/>
      <x:c r="AG10" s="15"/>
      <x:c r="AH10" s="15"/>
      <x:c r="AI10" s="15"/>
      <x:c r="AJ10" s="15"/>
      <x:c r="AK10" s="15"/>
      <x:c r="AL10" s="15"/>
      <x:c r="AM10" s="15"/>
      <x:c r="AN10" s="15"/>
      <x:c r="AO10" s="15"/>
      <x:c r="AP10" s="15"/>
      <x:c r="AQ10" s="15"/>
      <x:c r="AR10" s="15"/>
      <x:c r="AS10" s="15"/>
      <x:c r="AT10" s="15"/>
      <x:c r="AU10" s="16"/>
    </x:row>
    <x:row r="11">
      <x:c r="A11" s="14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  <x:c r="AA11" s="15"/>
      <x:c r="AB11" s="15"/>
      <x:c r="AC11" s="15"/>
      <x:c r="AD11" s="15"/>
      <x:c r="AE11" s="15"/>
      <x:c r="AF11" s="15"/>
      <x:c r="AG11" s="15"/>
      <x:c r="AH11" s="15"/>
      <x:c r="AI11" s="15"/>
      <x:c r="AJ11" s="15"/>
      <x:c r="AK11" s="15"/>
      <x:c r="AL11" s="15"/>
      <x:c r="AM11" s="15"/>
      <x:c r="AN11" s="15"/>
      <x:c r="AO11" s="15"/>
      <x:c r="AP11" s="15"/>
      <x:c r="AQ11" s="15"/>
      <x:c r="AR11" s="15"/>
      <x:c r="AS11" s="15"/>
      <x:c r="AT11" s="15"/>
      <x:c r="AU11" s="16"/>
    </x:row>
    <x:row r="12">
      <x:c r="A12" s="14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  <x:c r="AA12" s="15"/>
      <x:c r="AB12" s="15"/>
      <x:c r="AC12" s="15"/>
      <x:c r="AD12" s="15"/>
      <x:c r="AE12" s="15"/>
      <x:c r="AF12" s="15"/>
      <x:c r="AG12" s="15"/>
      <x:c r="AH12" s="15"/>
      <x:c r="AI12" s="15"/>
      <x:c r="AJ12" s="15"/>
      <x:c r="AK12" s="15"/>
      <x:c r="AL12" s="15"/>
      <x:c r="AM12" s="15"/>
      <x:c r="AN12" s="15"/>
      <x:c r="AO12" s="15"/>
      <x:c r="AP12" s="15"/>
      <x:c r="AQ12" s="15"/>
      <x:c r="AR12" s="15"/>
      <x:c r="AS12" s="15"/>
      <x:c r="AT12" s="15"/>
      <x:c r="AU12" s="16"/>
    </x:row>
    <x:row r="13">
      <x:c r="A13" s="14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  <x:c r="AA13" s="15"/>
      <x:c r="AB13" s="15"/>
      <x:c r="AC13" s="15"/>
      <x:c r="AD13" s="15"/>
      <x:c r="AE13" s="15"/>
      <x:c r="AF13" s="15"/>
      <x:c r="AG13" s="15"/>
      <x:c r="AH13" s="15"/>
      <x:c r="AI13" s="15"/>
      <x:c r="AJ13" s="15"/>
      <x:c r="AK13" s="15"/>
      <x:c r="AL13" s="15"/>
      <x:c r="AM13" s="15"/>
      <x:c r="AN13" s="15"/>
      <x:c r="AO13" s="15"/>
      <x:c r="AP13" s="15"/>
      <x:c r="AQ13" s="15"/>
      <x:c r="AR13" s="15"/>
      <x:c r="AS13" s="15"/>
      <x:c r="AT13" s="15"/>
      <x:c r="AU13" s="16"/>
    </x:row>
    <x:row r="14">
      <x:c r="A14" s="14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  <x:c r="AA14" s="15"/>
      <x:c r="AB14" s="15"/>
      <x:c r="AC14" s="15"/>
      <x:c r="AD14" s="15"/>
      <x:c r="AE14" s="15"/>
      <x:c r="AF14" s="15"/>
      <x:c r="AG14" s="15"/>
      <x:c r="AH14" s="15"/>
      <x:c r="AI14" s="15"/>
      <x:c r="AJ14" s="15"/>
      <x:c r="AK14" s="15"/>
      <x:c r="AL14" s="15"/>
      <x:c r="AM14" s="15"/>
      <x:c r="AN14" s="15"/>
      <x:c r="AO14" s="15"/>
      <x:c r="AP14" s="15"/>
      <x:c r="AQ14" s="15"/>
      <x:c r="AR14" s="15"/>
      <x:c r="AS14" s="15"/>
      <x:c r="AT14" s="15"/>
      <x:c r="AU14" s="16"/>
    </x:row>
    <x:row r="15">
      <x:c r="A15" s="14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  <x:c r="AA15" s="15"/>
      <x:c r="AB15" s="15"/>
      <x:c r="AC15" s="15"/>
      <x:c r="AD15" s="15"/>
      <x:c r="AE15" s="15"/>
      <x:c r="AF15" s="15"/>
      <x:c r="AG15" s="15"/>
      <x:c r="AH15" s="15"/>
      <x:c r="AI15" s="15"/>
      <x:c r="AJ15" s="15"/>
      <x:c r="AK15" s="15"/>
      <x:c r="AL15" s="15"/>
      <x:c r="AM15" s="15"/>
      <x:c r="AN15" s="15"/>
      <x:c r="AO15" s="15"/>
      <x:c r="AP15" s="15"/>
      <x:c r="AQ15" s="15"/>
      <x:c r="AR15" s="15"/>
      <x:c r="AS15" s="15"/>
      <x:c r="AT15" s="15"/>
      <x:c r="AU15" s="16"/>
    </x:row>
    <x:row r="16">
      <x:c r="A16" s="14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  <x:c r="AA16" s="15"/>
      <x:c r="AB16" s="15"/>
      <x:c r="AC16" s="15"/>
      <x:c r="AD16" s="15"/>
      <x:c r="AE16" s="15"/>
      <x:c r="AF16" s="15"/>
      <x:c r="AG16" s="15"/>
      <x:c r="AH16" s="15"/>
      <x:c r="AI16" s="15"/>
      <x:c r="AJ16" s="15"/>
      <x:c r="AK16" s="15"/>
      <x:c r="AL16" s="15"/>
      <x:c r="AM16" s="15"/>
      <x:c r="AN16" s="15"/>
      <x:c r="AO16" s="15"/>
      <x:c r="AP16" s="15"/>
      <x:c r="AQ16" s="15"/>
      <x:c r="AR16" s="15"/>
      <x:c r="AS16" s="15"/>
      <x:c r="AT16" s="15"/>
      <x:c r="AU16" s="16"/>
    </x:row>
    <x:row r="17">
      <x:c r="A17" s="14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  <x:c r="AA17" s="15"/>
      <x:c r="AB17" s="15"/>
      <x:c r="AC17" s="15"/>
      <x:c r="AD17" s="15"/>
      <x:c r="AE17" s="15"/>
      <x:c r="AF17" s="15"/>
      <x:c r="AG17" s="15"/>
      <x:c r="AH17" s="15"/>
      <x:c r="AI17" s="15"/>
      <x:c r="AJ17" s="15"/>
      <x:c r="AK17" s="15"/>
      <x:c r="AL17" s="15"/>
      <x:c r="AM17" s="15"/>
      <x:c r="AN17" s="15"/>
      <x:c r="AO17" s="15"/>
      <x:c r="AP17" s="15"/>
      <x:c r="AQ17" s="15"/>
      <x:c r="AR17" s="15"/>
      <x:c r="AS17" s="15"/>
      <x:c r="AT17" s="15"/>
      <x:c r="AU17" s="16"/>
    </x:row>
    <x:row r="18">
      <x:c r="A18" s="14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  <x:c r="AA18" s="15"/>
      <x:c r="AB18" s="15"/>
      <x:c r="AC18" s="15"/>
      <x:c r="AD18" s="15"/>
      <x:c r="AE18" s="15"/>
      <x:c r="AF18" s="15"/>
      <x:c r="AG18" s="15"/>
      <x:c r="AH18" s="15"/>
      <x:c r="AI18" s="15"/>
      <x:c r="AJ18" s="15"/>
      <x:c r="AK18" s="15"/>
      <x:c r="AL18" s="15"/>
      <x:c r="AM18" s="15"/>
      <x:c r="AN18" s="15"/>
      <x:c r="AO18" s="15"/>
      <x:c r="AP18" s="15"/>
      <x:c r="AQ18" s="15"/>
      <x:c r="AR18" s="15"/>
      <x:c r="AS18" s="15"/>
      <x:c r="AT18" s="15"/>
      <x:c r="AU18" s="16"/>
    </x:row>
    <x:row r="19">
      <x:c r="A19" s="14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  <x:c r="AA19" s="15"/>
      <x:c r="AB19" s="15"/>
      <x:c r="AC19" s="15"/>
      <x:c r="AD19" s="15"/>
      <x:c r="AE19" s="15"/>
      <x:c r="AF19" s="15"/>
      <x:c r="AG19" s="15"/>
      <x:c r="AH19" s="15"/>
      <x:c r="AI19" s="15"/>
      <x:c r="AJ19" s="15"/>
      <x:c r="AK19" s="15"/>
      <x:c r="AL19" s="15"/>
      <x:c r="AM19" s="15"/>
      <x:c r="AN19" s="15"/>
      <x:c r="AO19" s="15"/>
      <x:c r="AP19" s="15"/>
      <x:c r="AQ19" s="15"/>
      <x:c r="AR19" s="15"/>
      <x:c r="AS19" s="15"/>
      <x:c r="AT19" s="15"/>
      <x:c r="AU19" s="16"/>
    </x:row>
    <x:row r="20">
      <x:c r="A20" s="14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  <x:c r="AA20" s="15"/>
      <x:c r="AB20" s="15"/>
      <x:c r="AC20" s="15"/>
      <x:c r="AD20" s="15"/>
      <x:c r="AE20" s="15"/>
      <x:c r="AF20" s="15"/>
      <x:c r="AG20" s="15"/>
      <x:c r="AH20" s="15"/>
      <x:c r="AI20" s="15"/>
      <x:c r="AJ20" s="15"/>
      <x:c r="AK20" s="15"/>
      <x:c r="AL20" s="15"/>
      <x:c r="AM20" s="15"/>
      <x:c r="AN20" s="15"/>
      <x:c r="AO20" s="15"/>
      <x:c r="AP20" s="15"/>
      <x:c r="AQ20" s="15"/>
      <x:c r="AR20" s="15"/>
      <x:c r="AS20" s="15"/>
      <x:c r="AT20" s="15"/>
      <x:c r="AU20" s="16"/>
    </x:row>
    <x:row r="21">
      <x:c r="A21" s="14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  <x:c r="AA21" s="15"/>
      <x:c r="AB21" s="15"/>
      <x:c r="AC21" s="15"/>
      <x:c r="AD21" s="15"/>
      <x:c r="AE21" s="15"/>
      <x:c r="AF21" s="15"/>
      <x:c r="AG21" s="15"/>
      <x:c r="AH21" s="15"/>
      <x:c r="AI21" s="15"/>
      <x:c r="AJ21" s="15"/>
      <x:c r="AK21" s="15"/>
      <x:c r="AL21" s="15"/>
      <x:c r="AM21" s="15"/>
      <x:c r="AN21" s="15"/>
      <x:c r="AO21" s="15"/>
      <x:c r="AP21" s="15"/>
      <x:c r="AQ21" s="15"/>
      <x:c r="AR21" s="15"/>
      <x:c r="AS21" s="15"/>
      <x:c r="AT21" s="15"/>
      <x:c r="AU21" s="16"/>
    </x:row>
    <x:row r="22">
      <x:c r="A22" s="14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  <x:c r="AA22" s="15"/>
      <x:c r="AB22" s="15"/>
      <x:c r="AC22" s="15"/>
      <x:c r="AD22" s="15"/>
      <x:c r="AE22" s="15"/>
      <x:c r="AF22" s="15"/>
      <x:c r="AG22" s="15"/>
      <x:c r="AH22" s="15"/>
      <x:c r="AI22" s="15"/>
      <x:c r="AJ22" s="15"/>
      <x:c r="AK22" s="15"/>
      <x:c r="AL22" s="15"/>
      <x:c r="AM22" s="15"/>
      <x:c r="AN22" s="15"/>
      <x:c r="AO22" s="15"/>
      <x:c r="AP22" s="15"/>
      <x:c r="AQ22" s="15"/>
      <x:c r="AR22" s="15"/>
      <x:c r="AS22" s="15"/>
      <x:c r="AT22" s="15"/>
      <x:c r="AU22" s="16"/>
    </x:row>
    <x:row r="23">
      <x:c r="A23" s="14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  <x:c r="AA23" s="15"/>
      <x:c r="AB23" s="15"/>
      <x:c r="AC23" s="15"/>
      <x:c r="AD23" s="15"/>
      <x:c r="AE23" s="15"/>
      <x:c r="AF23" s="15"/>
      <x:c r="AG23" s="15"/>
      <x:c r="AH23" s="15"/>
      <x:c r="AI23" s="15"/>
      <x:c r="AJ23" s="15"/>
      <x:c r="AK23" s="15"/>
      <x:c r="AL23" s="15"/>
      <x:c r="AM23" s="15"/>
      <x:c r="AN23" s="15"/>
      <x:c r="AO23" s="15"/>
      <x:c r="AP23" s="15"/>
      <x:c r="AQ23" s="15"/>
      <x:c r="AR23" s="15"/>
      <x:c r="AS23" s="15"/>
      <x:c r="AT23" s="15"/>
      <x:c r="AU23" s="16"/>
    </x:row>
    <x:row r="24">
      <x:c r="A24" s="14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  <x:c r="AA24" s="15"/>
      <x:c r="AB24" s="15"/>
      <x:c r="AC24" s="15"/>
      <x:c r="AD24" s="15"/>
      <x:c r="AE24" s="15"/>
      <x:c r="AF24" s="15"/>
      <x:c r="AG24" s="15"/>
      <x:c r="AH24" s="15"/>
      <x:c r="AI24" s="15"/>
      <x:c r="AJ24" s="15"/>
      <x:c r="AK24" s="15"/>
      <x:c r="AL24" s="15"/>
      <x:c r="AM24" s="15"/>
      <x:c r="AN24" s="15"/>
      <x:c r="AO24" s="15"/>
      <x:c r="AP24" s="15"/>
      <x:c r="AQ24" s="15"/>
      <x:c r="AR24" s="15"/>
      <x:c r="AS24" s="15"/>
      <x:c r="AT24" s="15"/>
      <x:c r="AU24" s="16"/>
    </x:row>
    <x:row r="25">
      <x:c r="A25" s="14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  <x:c r="AA25" s="15"/>
      <x:c r="AB25" s="15"/>
      <x:c r="AC25" s="15"/>
      <x:c r="AD25" s="15"/>
      <x:c r="AE25" s="15"/>
      <x:c r="AF25" s="15"/>
      <x:c r="AG25" s="15"/>
      <x:c r="AH25" s="15"/>
      <x:c r="AI25" s="15"/>
      <x:c r="AJ25" s="15"/>
      <x:c r="AK25" s="15"/>
      <x:c r="AL25" s="15"/>
      <x:c r="AM25" s="15"/>
      <x:c r="AN25" s="15"/>
      <x:c r="AO25" s="15"/>
      <x:c r="AP25" s="15"/>
      <x:c r="AQ25" s="15"/>
      <x:c r="AR25" s="15"/>
      <x:c r="AS25" s="15"/>
      <x:c r="AT25" s="15"/>
      <x:c r="AU25" s="16"/>
    </x:row>
    <x:row r="26">
      <x:c r="A26" s="14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  <x:c r="AA26" s="15"/>
      <x:c r="AB26" s="15"/>
      <x:c r="AC26" s="15"/>
      <x:c r="AD26" s="15"/>
      <x:c r="AE26" s="15"/>
      <x:c r="AF26" s="15"/>
      <x:c r="AG26" s="15"/>
      <x:c r="AH26" s="15"/>
      <x:c r="AI26" s="15"/>
      <x:c r="AJ26" s="15"/>
      <x:c r="AK26" s="15"/>
      <x:c r="AL26" s="15"/>
      <x:c r="AM26" s="15"/>
      <x:c r="AN26" s="15"/>
      <x:c r="AO26" s="15"/>
      <x:c r="AP26" s="15"/>
      <x:c r="AQ26" s="15"/>
      <x:c r="AR26" s="15"/>
      <x:c r="AS26" s="15"/>
      <x:c r="AT26" s="15"/>
      <x:c r="AU26" s="16"/>
    </x:row>
    <x:row r="27">
      <x:c r="A27" s="14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  <x:c r="AA27" s="15"/>
      <x:c r="AB27" s="15"/>
      <x:c r="AC27" s="15"/>
      <x:c r="AD27" s="15"/>
      <x:c r="AE27" s="15"/>
      <x:c r="AF27" s="15"/>
      <x:c r="AG27" s="15"/>
      <x:c r="AH27" s="15"/>
      <x:c r="AI27" s="15"/>
      <x:c r="AJ27" s="15"/>
      <x:c r="AK27" s="15"/>
      <x:c r="AL27" s="15"/>
      <x:c r="AM27" s="15"/>
      <x:c r="AN27" s="15"/>
      <x:c r="AO27" s="15"/>
      <x:c r="AP27" s="15"/>
      <x:c r="AQ27" s="15"/>
      <x:c r="AR27" s="15"/>
      <x:c r="AS27" s="15"/>
      <x:c r="AT27" s="15"/>
      <x:c r="AU27" s="16"/>
    </x:row>
    <x:row r="28">
      <x:c r="A28" s="14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  <x:c r="AA28" s="15"/>
      <x:c r="AB28" s="15"/>
      <x:c r="AC28" s="15"/>
      <x:c r="AD28" s="15"/>
      <x:c r="AE28" s="15"/>
      <x:c r="AF28" s="15"/>
      <x:c r="AG28" s="15"/>
      <x:c r="AH28" s="15"/>
      <x:c r="AI28" s="15"/>
      <x:c r="AJ28" s="15"/>
      <x:c r="AK28" s="15"/>
      <x:c r="AL28" s="15"/>
      <x:c r="AM28" s="15"/>
      <x:c r="AN28" s="15"/>
      <x:c r="AO28" s="15"/>
      <x:c r="AP28" s="15"/>
      <x:c r="AQ28" s="15"/>
      <x:c r="AR28" s="15"/>
      <x:c r="AS28" s="15"/>
      <x:c r="AT28" s="15"/>
      <x:c r="AU28" s="16"/>
    </x:row>
    <x:row r="29">
      <x:c r="A29" s="14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  <x:c r="AA29" s="15"/>
      <x:c r="AB29" s="15"/>
      <x:c r="AC29" s="15"/>
      <x:c r="AD29" s="15"/>
      <x:c r="AE29" s="15"/>
      <x:c r="AF29" s="15"/>
      <x:c r="AG29" s="15"/>
      <x:c r="AH29" s="15"/>
      <x:c r="AI29" s="15"/>
      <x:c r="AJ29" s="15"/>
      <x:c r="AK29" s="15"/>
      <x:c r="AL29" s="15"/>
      <x:c r="AM29" s="15"/>
      <x:c r="AN29" s="15"/>
      <x:c r="AO29" s="15"/>
      <x:c r="AP29" s="15"/>
      <x:c r="AQ29" s="15"/>
      <x:c r="AR29" s="15"/>
      <x:c r="AS29" s="15"/>
      <x:c r="AT29" s="15"/>
      <x:c r="AU29" s="16"/>
    </x:row>
    <x:row r="30">
      <x:c r="A30" s="14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  <x:c r="AA30" s="15"/>
      <x:c r="AB30" s="15"/>
      <x:c r="AC30" s="15"/>
      <x:c r="AD30" s="15"/>
      <x:c r="AE30" s="15"/>
      <x:c r="AF30" s="15"/>
      <x:c r="AG30" s="15"/>
      <x:c r="AH30" s="15"/>
      <x:c r="AI30" s="15"/>
      <x:c r="AJ30" s="15"/>
      <x:c r="AK30" s="15"/>
      <x:c r="AL30" s="15"/>
      <x:c r="AM30" s="15"/>
      <x:c r="AN30" s="15"/>
      <x:c r="AO30" s="15"/>
      <x:c r="AP30" s="15"/>
      <x:c r="AQ30" s="15"/>
      <x:c r="AR30" s="15"/>
      <x:c r="AS30" s="15"/>
      <x:c r="AT30" s="15"/>
      <x:c r="AU30" s="16"/>
    </x:row>
    <x:row r="31">
      <x:c r="A31" s="14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  <x:c r="AA31" s="15"/>
      <x:c r="AB31" s="15"/>
      <x:c r="AC31" s="15"/>
      <x:c r="AD31" s="15"/>
      <x:c r="AE31" s="15"/>
      <x:c r="AF31" s="15"/>
      <x:c r="AG31" s="15"/>
      <x:c r="AH31" s="15"/>
      <x:c r="AI31" s="15"/>
      <x:c r="AJ31" s="15"/>
      <x:c r="AK31" s="15"/>
      <x:c r="AL31" s="15"/>
      <x:c r="AM31" s="15"/>
      <x:c r="AN31" s="15"/>
      <x:c r="AO31" s="15"/>
      <x:c r="AP31" s="15"/>
      <x:c r="AQ31" s="15"/>
      <x:c r="AR31" s="15"/>
      <x:c r="AS31" s="15"/>
      <x:c r="AT31" s="15"/>
      <x:c r="AU31" s="16"/>
    </x:row>
    <x:row r="32">
      <x:c r="A32" s="14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  <x:c r="AA32" s="15"/>
      <x:c r="AB32" s="15"/>
      <x:c r="AC32" s="15"/>
      <x:c r="AD32" s="15"/>
      <x:c r="AE32" s="15"/>
      <x:c r="AF32" s="15"/>
      <x:c r="AG32" s="15"/>
      <x:c r="AH32" s="15"/>
      <x:c r="AI32" s="15"/>
      <x:c r="AJ32" s="15"/>
      <x:c r="AK32" s="15"/>
      <x:c r="AL32" s="15"/>
      <x:c r="AM32" s="15"/>
      <x:c r="AN32" s="15"/>
      <x:c r="AO32" s="15"/>
      <x:c r="AP32" s="15"/>
      <x:c r="AQ32" s="15"/>
      <x:c r="AR32" s="15"/>
      <x:c r="AS32" s="15"/>
      <x:c r="AT32" s="15"/>
      <x:c r="AU32" s="16"/>
    </x:row>
    <x:row r="33">
      <x:c r="A33" s="14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  <x:c r="AA33" s="15"/>
      <x:c r="AB33" s="15"/>
      <x:c r="AC33" s="15"/>
      <x:c r="AD33" s="15"/>
      <x:c r="AE33" s="15"/>
      <x:c r="AF33" s="15"/>
      <x:c r="AG33" s="15"/>
      <x:c r="AH33" s="15"/>
      <x:c r="AI33" s="15"/>
      <x:c r="AJ33" s="15"/>
      <x:c r="AK33" s="15"/>
      <x:c r="AL33" s="15"/>
      <x:c r="AM33" s="15"/>
      <x:c r="AN33" s="15"/>
      <x:c r="AO33" s="15"/>
      <x:c r="AP33" s="15"/>
      <x:c r="AQ33" s="15"/>
      <x:c r="AR33" s="15"/>
      <x:c r="AS33" s="15"/>
      <x:c r="AT33" s="15"/>
      <x:c r="AU33" s="16"/>
    </x:row>
    <x:row r="34">
      <x:c r="A34" s="14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  <x:c r="AA34" s="15"/>
      <x:c r="AB34" s="15"/>
      <x:c r="AC34" s="15"/>
      <x:c r="AD34" s="15"/>
      <x:c r="AE34" s="15"/>
      <x:c r="AF34" s="15"/>
      <x:c r="AG34" s="15"/>
      <x:c r="AH34" s="15"/>
      <x:c r="AI34" s="15"/>
      <x:c r="AJ34" s="15"/>
      <x:c r="AK34" s="15"/>
      <x:c r="AL34" s="15"/>
      <x:c r="AM34" s="15"/>
      <x:c r="AN34" s="15"/>
      <x:c r="AO34" s="15"/>
      <x:c r="AP34" s="15"/>
      <x:c r="AQ34" s="15"/>
      <x:c r="AR34" s="15"/>
      <x:c r="AS34" s="15"/>
      <x:c r="AT34" s="15"/>
      <x:c r="AU34" s="16"/>
    </x:row>
    <x:row r="35">
      <x:c r="A35" s="14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  <x:c r="AA35" s="15"/>
      <x:c r="AB35" s="15"/>
      <x:c r="AC35" s="15"/>
      <x:c r="AD35" s="15"/>
      <x:c r="AE35" s="15"/>
      <x:c r="AF35" s="15"/>
      <x:c r="AG35" s="15"/>
      <x:c r="AH35" s="15"/>
      <x:c r="AI35" s="15"/>
      <x:c r="AJ35" s="15"/>
      <x:c r="AK35" s="15"/>
      <x:c r="AL35" s="15"/>
      <x:c r="AM35" s="15"/>
      <x:c r="AN35" s="15"/>
      <x:c r="AO35" s="15"/>
      <x:c r="AP35" s="15"/>
      <x:c r="AQ35" s="15"/>
      <x:c r="AR35" s="15"/>
      <x:c r="AS35" s="15"/>
      <x:c r="AT35" s="15"/>
      <x:c r="AU35" s="16"/>
    </x:row>
    <x:row r="36">
      <x:c r="A36" s="14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  <x:c r="AA36" s="15"/>
      <x:c r="AB36" s="15"/>
      <x:c r="AC36" s="15"/>
      <x:c r="AD36" s="15"/>
      <x:c r="AE36" s="15"/>
      <x:c r="AF36" s="15"/>
      <x:c r="AG36" s="15"/>
      <x:c r="AH36" s="15"/>
      <x:c r="AI36" s="15"/>
      <x:c r="AJ36" s="15"/>
      <x:c r="AK36" s="15"/>
      <x:c r="AL36" s="15"/>
      <x:c r="AM36" s="15"/>
      <x:c r="AN36" s="15"/>
      <x:c r="AO36" s="15"/>
      <x:c r="AP36" s="15"/>
      <x:c r="AQ36" s="15"/>
      <x:c r="AR36" s="15"/>
      <x:c r="AS36" s="15"/>
      <x:c r="AT36" s="15"/>
      <x:c r="AU36" s="16"/>
    </x:row>
    <x:row r="37">
      <x:c r="A37" s="14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  <x:c r="AA37" s="15"/>
      <x:c r="AB37" s="15"/>
      <x:c r="AC37" s="15"/>
      <x:c r="AD37" s="15"/>
      <x:c r="AE37" s="15"/>
      <x:c r="AF37" s="15"/>
      <x:c r="AG37" s="15"/>
      <x:c r="AH37" s="15"/>
      <x:c r="AI37" s="15"/>
      <x:c r="AJ37" s="15"/>
      <x:c r="AK37" s="15"/>
      <x:c r="AL37" s="15"/>
      <x:c r="AM37" s="15"/>
      <x:c r="AN37" s="15"/>
      <x:c r="AO37" s="15"/>
      <x:c r="AP37" s="15"/>
      <x:c r="AQ37" s="15"/>
      <x:c r="AR37" s="15"/>
      <x:c r="AS37" s="15"/>
      <x:c r="AT37" s="15"/>
      <x:c r="AU37" s="16"/>
    </x:row>
    <x:row r="38">
      <x:c r="A38" s="14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  <x:c r="AA38" s="15"/>
      <x:c r="AB38" s="15"/>
      <x:c r="AC38" s="15"/>
      <x:c r="AD38" s="15"/>
      <x:c r="AE38" s="15"/>
      <x:c r="AF38" s="15"/>
      <x:c r="AG38" s="15"/>
      <x:c r="AH38" s="15"/>
      <x:c r="AI38" s="15"/>
      <x:c r="AJ38" s="15"/>
      <x:c r="AK38" s="15"/>
      <x:c r="AL38" s="15"/>
      <x:c r="AM38" s="15"/>
      <x:c r="AN38" s="15"/>
      <x:c r="AO38" s="15"/>
      <x:c r="AP38" s="15"/>
      <x:c r="AQ38" s="15"/>
      <x:c r="AR38" s="15"/>
      <x:c r="AS38" s="15"/>
      <x:c r="AT38" s="15"/>
      <x:c r="AU38" s="16"/>
    </x:row>
    <x:row r="39">
      <x:c r="A39" s="14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  <x:c r="AA39" s="15"/>
      <x:c r="AB39" s="15"/>
      <x:c r="AC39" s="15"/>
      <x:c r="AD39" s="15"/>
      <x:c r="AE39" s="15"/>
      <x:c r="AF39" s="15"/>
      <x:c r="AG39" s="15"/>
      <x:c r="AH39" s="15"/>
      <x:c r="AI39" s="15"/>
      <x:c r="AJ39" s="15"/>
      <x:c r="AK39" s="15"/>
      <x:c r="AL39" s="15"/>
      <x:c r="AM39" s="15"/>
      <x:c r="AN39" s="15"/>
      <x:c r="AO39" s="15"/>
      <x:c r="AP39" s="15"/>
      <x:c r="AQ39" s="15"/>
      <x:c r="AR39" s="15"/>
      <x:c r="AS39" s="15"/>
      <x:c r="AT39" s="15"/>
      <x:c r="AU39" s="16"/>
    </x:row>
    <x:row r="40">
      <x:c r="A40" s="14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  <x:c r="AA40" s="15"/>
      <x:c r="AB40" s="15"/>
      <x:c r="AC40" s="15"/>
      <x:c r="AD40" s="15"/>
      <x:c r="AE40" s="15"/>
      <x:c r="AF40" s="15"/>
      <x:c r="AG40" s="15"/>
      <x:c r="AH40" s="15"/>
      <x:c r="AI40" s="15"/>
      <x:c r="AJ40" s="15"/>
      <x:c r="AK40" s="15"/>
      <x:c r="AL40" s="15"/>
      <x:c r="AM40" s="15"/>
      <x:c r="AN40" s="15"/>
      <x:c r="AO40" s="15"/>
      <x:c r="AP40" s="15"/>
      <x:c r="AQ40" s="15"/>
      <x:c r="AR40" s="15"/>
      <x:c r="AS40" s="15"/>
      <x:c r="AT40" s="15"/>
      <x:c r="AU40" s="16"/>
    </x:row>
    <x:row r="41">
      <x:c r="A41" s="14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  <x:c r="AA41" s="15"/>
      <x:c r="AB41" s="15"/>
      <x:c r="AC41" s="15"/>
      <x:c r="AD41" s="15"/>
      <x:c r="AE41" s="15"/>
      <x:c r="AF41" s="15"/>
      <x:c r="AG41" s="15"/>
      <x:c r="AH41" s="15"/>
      <x:c r="AI41" s="15"/>
      <x:c r="AJ41" s="15"/>
      <x:c r="AK41" s="15"/>
      <x:c r="AL41" s="15"/>
      <x:c r="AM41" s="15"/>
      <x:c r="AN41" s="15"/>
      <x:c r="AO41" s="15"/>
      <x:c r="AP41" s="15"/>
      <x:c r="AQ41" s="15"/>
      <x:c r="AR41" s="15"/>
      <x:c r="AS41" s="15"/>
      <x:c r="AT41" s="15"/>
      <x:c r="AU41" s="16"/>
    </x:row>
    <x:row r="42">
      <x:c r="A42" s="14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  <x:c r="AA42" s="15"/>
      <x:c r="AB42" s="15"/>
      <x:c r="AC42" s="15"/>
      <x:c r="AD42" s="15"/>
      <x:c r="AE42" s="15"/>
      <x:c r="AF42" s="15"/>
      <x:c r="AG42" s="15"/>
      <x:c r="AH42" s="15"/>
      <x:c r="AI42" s="15"/>
      <x:c r="AJ42" s="15"/>
      <x:c r="AK42" s="15"/>
      <x:c r="AL42" s="15"/>
      <x:c r="AM42" s="15"/>
      <x:c r="AN42" s="15"/>
      <x:c r="AO42" s="15"/>
      <x:c r="AP42" s="15"/>
      <x:c r="AQ42" s="15"/>
      <x:c r="AR42" s="15"/>
      <x:c r="AS42" s="15"/>
      <x:c r="AT42" s="15"/>
      <x:c r="AU42" s="16"/>
    </x:row>
    <x:row r="43">
      <x:c r="A43" s="14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  <x:c r="AA43" s="15"/>
      <x:c r="AB43" s="15"/>
      <x:c r="AC43" s="15"/>
      <x:c r="AD43" s="15"/>
      <x:c r="AE43" s="15"/>
      <x:c r="AF43" s="15"/>
      <x:c r="AG43" s="15"/>
      <x:c r="AH43" s="15"/>
      <x:c r="AI43" s="15"/>
      <x:c r="AJ43" s="15"/>
      <x:c r="AK43" s="15"/>
      <x:c r="AL43" s="15"/>
      <x:c r="AM43" s="15"/>
      <x:c r="AN43" s="15"/>
      <x:c r="AO43" s="15"/>
      <x:c r="AP43" s="15"/>
      <x:c r="AQ43" s="15"/>
      <x:c r="AR43" s="15"/>
      <x:c r="AS43" s="15"/>
      <x:c r="AT43" s="15"/>
      <x:c r="AU43" s="16"/>
    </x:row>
    <x:row r="44">
      <x:c r="A44" s="14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  <x:c r="AA44" s="15"/>
      <x:c r="AB44" s="15"/>
      <x:c r="AC44" s="15"/>
      <x:c r="AD44" s="15"/>
      <x:c r="AE44" s="15"/>
      <x:c r="AF44" s="15"/>
      <x:c r="AG44" s="15"/>
      <x:c r="AH44" s="15"/>
      <x:c r="AI44" s="15"/>
      <x:c r="AJ44" s="15"/>
      <x:c r="AK44" s="15"/>
      <x:c r="AL44" s="15"/>
      <x:c r="AM44" s="15"/>
      <x:c r="AN44" s="15"/>
      <x:c r="AO44" s="15"/>
      <x:c r="AP44" s="15"/>
      <x:c r="AQ44" s="15"/>
      <x:c r="AR44" s="15"/>
      <x:c r="AS44" s="15"/>
      <x:c r="AT44" s="15"/>
      <x:c r="AU44" s="16"/>
    </x:row>
    <x:row r="45">
      <x:c r="A45" s="14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  <x:c r="AA45" s="15"/>
      <x:c r="AB45" s="15"/>
      <x:c r="AC45" s="15"/>
      <x:c r="AD45" s="15"/>
      <x:c r="AE45" s="15"/>
      <x:c r="AF45" s="15"/>
      <x:c r="AG45" s="15"/>
      <x:c r="AH45" s="15"/>
      <x:c r="AI45" s="15"/>
      <x:c r="AJ45" s="15"/>
      <x:c r="AK45" s="15"/>
      <x:c r="AL45" s="15"/>
      <x:c r="AM45" s="15"/>
      <x:c r="AN45" s="15"/>
      <x:c r="AO45" s="15"/>
      <x:c r="AP45" s="15"/>
      <x:c r="AQ45" s="15"/>
      <x:c r="AR45" s="15"/>
      <x:c r="AS45" s="15"/>
      <x:c r="AT45" s="15"/>
      <x:c r="AU45" s="16"/>
    </x:row>
    <x:row r="46">
      <x:c r="A46" s="14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  <x:c r="AA46" s="15"/>
      <x:c r="AB46" s="15"/>
      <x:c r="AC46" s="15"/>
      <x:c r="AD46" s="15"/>
      <x:c r="AE46" s="15"/>
      <x:c r="AF46" s="15"/>
      <x:c r="AG46" s="15"/>
      <x:c r="AH46" s="15"/>
      <x:c r="AI46" s="15"/>
      <x:c r="AJ46" s="15"/>
      <x:c r="AK46" s="15"/>
      <x:c r="AL46" s="15"/>
      <x:c r="AM46" s="15"/>
      <x:c r="AN46" s="15"/>
      <x:c r="AO46" s="15"/>
      <x:c r="AP46" s="15"/>
      <x:c r="AQ46" s="15"/>
      <x:c r="AR46" s="15"/>
      <x:c r="AS46" s="15"/>
      <x:c r="AT46" s="15"/>
      <x:c r="AU46" s="16"/>
    </x:row>
    <x:row r="47">
      <x:c r="A47" s="14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  <x:c r="AA47" s="15"/>
      <x:c r="AB47" s="15"/>
      <x:c r="AC47" s="15"/>
      <x:c r="AD47" s="15"/>
      <x:c r="AE47" s="15"/>
      <x:c r="AF47" s="15"/>
      <x:c r="AG47" s="15"/>
      <x:c r="AH47" s="15"/>
      <x:c r="AI47" s="15"/>
      <x:c r="AJ47" s="15"/>
      <x:c r="AK47" s="15"/>
      <x:c r="AL47" s="15"/>
      <x:c r="AM47" s="15"/>
      <x:c r="AN47" s="15"/>
      <x:c r="AO47" s="15"/>
      <x:c r="AP47" s="15"/>
      <x:c r="AQ47" s="15"/>
      <x:c r="AR47" s="15"/>
      <x:c r="AS47" s="15"/>
      <x:c r="AT47" s="15"/>
      <x:c r="AU47" s="16"/>
    </x:row>
    <x:row r="48">
      <x:c r="A48" s="14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  <x:c r="AA48" s="15"/>
      <x:c r="AB48" s="15"/>
      <x:c r="AC48" s="15"/>
      <x:c r="AD48" s="15"/>
      <x:c r="AE48" s="15"/>
      <x:c r="AF48" s="15"/>
      <x:c r="AG48" s="15"/>
      <x:c r="AH48" s="15"/>
      <x:c r="AI48" s="15"/>
      <x:c r="AJ48" s="15"/>
      <x:c r="AK48" s="15"/>
      <x:c r="AL48" s="15"/>
      <x:c r="AM48" s="15"/>
      <x:c r="AN48" s="15"/>
      <x:c r="AO48" s="15"/>
      <x:c r="AP48" s="15"/>
      <x:c r="AQ48" s="15"/>
      <x:c r="AR48" s="15"/>
      <x:c r="AS48" s="15"/>
      <x:c r="AT48" s="15"/>
      <x:c r="AU48" s="16"/>
    </x:row>
    <x:row r="49">
      <x:c r="A49" s="14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  <x:c r="AA49" s="15"/>
      <x:c r="AB49" s="15"/>
      <x:c r="AC49" s="15"/>
      <x:c r="AD49" s="15"/>
      <x:c r="AE49" s="15"/>
      <x:c r="AF49" s="15"/>
      <x:c r="AG49" s="15"/>
      <x:c r="AH49" s="15"/>
      <x:c r="AI49" s="15"/>
      <x:c r="AJ49" s="15"/>
      <x:c r="AK49" s="15"/>
      <x:c r="AL49" s="15"/>
      <x:c r="AM49" s="15"/>
      <x:c r="AN49" s="15"/>
      <x:c r="AO49" s="15"/>
      <x:c r="AP49" s="15"/>
      <x:c r="AQ49" s="15"/>
      <x:c r="AR49" s="15"/>
      <x:c r="AS49" s="15"/>
      <x:c r="AT49" s="15"/>
      <x:c r="AU49" s="16"/>
    </x:row>
    <x:row r="50">
      <x:c r="A50" s="14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  <x:c r="AA50" s="15"/>
      <x:c r="AB50" s="15"/>
      <x:c r="AC50" s="15"/>
      <x:c r="AD50" s="15"/>
      <x:c r="AE50" s="15"/>
      <x:c r="AF50" s="15"/>
      <x:c r="AG50" s="15"/>
      <x:c r="AH50" s="15"/>
      <x:c r="AI50" s="15"/>
      <x:c r="AJ50" s="15"/>
      <x:c r="AK50" s="15"/>
      <x:c r="AL50" s="15"/>
      <x:c r="AM50" s="15"/>
      <x:c r="AN50" s="15"/>
      <x:c r="AO50" s="15"/>
      <x:c r="AP50" s="15"/>
      <x:c r="AQ50" s="15"/>
      <x:c r="AR50" s="15"/>
      <x:c r="AS50" s="15"/>
      <x:c r="AT50" s="15"/>
      <x:c r="AU50" s="16"/>
    </x:row>
    <x:row r="51">
      <x:c r="A51" s="14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  <x:c r="AA51" s="15"/>
      <x:c r="AB51" s="15"/>
      <x:c r="AC51" s="15"/>
      <x:c r="AD51" s="15"/>
      <x:c r="AE51" s="15"/>
      <x:c r="AF51" s="15"/>
      <x:c r="AG51" s="15"/>
      <x:c r="AH51" s="15"/>
      <x:c r="AI51" s="15"/>
      <x:c r="AJ51" s="15"/>
      <x:c r="AK51" s="15"/>
      <x:c r="AL51" s="15"/>
      <x:c r="AM51" s="15"/>
      <x:c r="AN51" s="15"/>
      <x:c r="AO51" s="15"/>
      <x:c r="AP51" s="15"/>
      <x:c r="AQ51" s="15"/>
      <x:c r="AR51" s="15"/>
      <x:c r="AS51" s="15"/>
      <x:c r="AT51" s="15"/>
      <x:c r="AU51" s="16"/>
    </x:row>
    <x:row r="52">
      <x:c r="A52" s="14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  <x:c r="AA52" s="15"/>
      <x:c r="AB52" s="15"/>
      <x:c r="AC52" s="15"/>
      <x:c r="AD52" s="15"/>
      <x:c r="AE52" s="15"/>
      <x:c r="AF52" s="15"/>
      <x:c r="AG52" s="15"/>
      <x:c r="AH52" s="15"/>
      <x:c r="AI52" s="15"/>
      <x:c r="AJ52" s="15"/>
      <x:c r="AK52" s="15"/>
      <x:c r="AL52" s="15"/>
      <x:c r="AM52" s="15"/>
      <x:c r="AN52" s="15"/>
      <x:c r="AO52" s="15"/>
      <x:c r="AP52" s="15"/>
      <x:c r="AQ52" s="15"/>
      <x:c r="AR52" s="15"/>
      <x:c r="AS52" s="15"/>
      <x:c r="AT52" s="15"/>
      <x:c r="AU52" s="16"/>
    </x:row>
    <x:row r="53">
      <x:c r="A53" s="14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  <x:c r="AA53" s="15"/>
      <x:c r="AB53" s="15"/>
      <x:c r="AC53" s="15"/>
      <x:c r="AD53" s="15"/>
      <x:c r="AE53" s="15"/>
      <x:c r="AF53" s="15"/>
      <x:c r="AG53" s="15"/>
      <x:c r="AH53" s="15"/>
      <x:c r="AI53" s="15"/>
      <x:c r="AJ53" s="15"/>
      <x:c r="AK53" s="15"/>
      <x:c r="AL53" s="15"/>
      <x:c r="AM53" s="15"/>
      <x:c r="AN53" s="15"/>
      <x:c r="AO53" s="15"/>
      <x:c r="AP53" s="15"/>
      <x:c r="AQ53" s="15"/>
      <x:c r="AR53" s="15"/>
      <x:c r="AS53" s="15"/>
      <x:c r="AT53" s="15"/>
      <x:c r="AU53" s="16"/>
    </x:row>
    <x:row r="54">
      <x:c r="A54" s="14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  <x:c r="AA54" s="15"/>
      <x:c r="AB54" s="15"/>
      <x:c r="AC54" s="15"/>
      <x:c r="AD54" s="15"/>
      <x:c r="AE54" s="15"/>
      <x:c r="AF54" s="15"/>
      <x:c r="AG54" s="15"/>
      <x:c r="AH54" s="15"/>
      <x:c r="AI54" s="15"/>
      <x:c r="AJ54" s="15"/>
      <x:c r="AK54" s="15"/>
      <x:c r="AL54" s="15"/>
      <x:c r="AM54" s="15"/>
      <x:c r="AN54" s="15"/>
      <x:c r="AO54" s="15"/>
      <x:c r="AP54" s="15"/>
      <x:c r="AQ54" s="15"/>
      <x:c r="AR54" s="15"/>
      <x:c r="AS54" s="15"/>
      <x:c r="AT54" s="15"/>
      <x:c r="AU54" s="16"/>
    </x:row>
    <x:row r="55">
      <x:c r="A55" s="14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  <x:c r="AA55" s="15"/>
      <x:c r="AB55" s="15"/>
      <x:c r="AC55" s="15"/>
      <x:c r="AD55" s="15"/>
      <x:c r="AE55" s="15"/>
      <x:c r="AF55" s="15"/>
      <x:c r="AG55" s="15"/>
      <x:c r="AH55" s="15"/>
      <x:c r="AI55" s="15"/>
      <x:c r="AJ55" s="15"/>
      <x:c r="AK55" s="15"/>
      <x:c r="AL55" s="15"/>
      <x:c r="AM55" s="15"/>
      <x:c r="AN55" s="15"/>
      <x:c r="AO55" s="15"/>
      <x:c r="AP55" s="15"/>
      <x:c r="AQ55" s="15"/>
      <x:c r="AR55" s="15"/>
      <x:c r="AS55" s="15"/>
      <x:c r="AT55" s="15"/>
      <x:c r="AU55" s="16"/>
    </x:row>
    <x:row r="56">
      <x:c r="A56" s="14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  <x:c r="AA56" s="15"/>
      <x:c r="AB56" s="15"/>
      <x:c r="AC56" s="15"/>
      <x:c r="AD56" s="15"/>
      <x:c r="AE56" s="15"/>
      <x:c r="AF56" s="15"/>
      <x:c r="AG56" s="15"/>
      <x:c r="AH56" s="15"/>
      <x:c r="AI56" s="15"/>
      <x:c r="AJ56" s="15"/>
      <x:c r="AK56" s="15"/>
      <x:c r="AL56" s="15"/>
      <x:c r="AM56" s="15"/>
      <x:c r="AN56" s="15"/>
      <x:c r="AO56" s="15"/>
      <x:c r="AP56" s="15"/>
      <x:c r="AQ56" s="15"/>
      <x:c r="AR56" s="15"/>
      <x:c r="AS56" s="15"/>
      <x:c r="AT56" s="15"/>
      <x:c r="AU56" s="16"/>
    </x:row>
    <x:row r="57">
      <x:c r="A57" s="14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  <x:c r="AA57" s="15"/>
      <x:c r="AB57" s="15"/>
      <x:c r="AC57" s="15"/>
      <x:c r="AD57" s="15"/>
      <x:c r="AE57" s="15"/>
      <x:c r="AF57" s="15"/>
      <x:c r="AG57" s="15"/>
      <x:c r="AH57" s="15"/>
      <x:c r="AI57" s="15"/>
      <x:c r="AJ57" s="15"/>
      <x:c r="AK57" s="15"/>
      <x:c r="AL57" s="15"/>
      <x:c r="AM57" s="15"/>
      <x:c r="AN57" s="15"/>
      <x:c r="AO57" s="15"/>
      <x:c r="AP57" s="15"/>
      <x:c r="AQ57" s="15"/>
      <x:c r="AR57" s="15"/>
      <x:c r="AS57" s="15"/>
      <x:c r="AT57" s="15"/>
      <x:c r="AU57" s="16"/>
    </x:row>
    <x:row r="58">
      <x:c r="A58" s="14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  <x:c r="AA58" s="15"/>
      <x:c r="AB58" s="15"/>
      <x:c r="AC58" s="15"/>
      <x:c r="AD58" s="15"/>
      <x:c r="AE58" s="15"/>
      <x:c r="AF58" s="15"/>
      <x:c r="AG58" s="15"/>
      <x:c r="AH58" s="15"/>
      <x:c r="AI58" s="15"/>
      <x:c r="AJ58" s="15"/>
      <x:c r="AK58" s="15"/>
      <x:c r="AL58" s="15"/>
      <x:c r="AM58" s="15"/>
      <x:c r="AN58" s="15"/>
      <x:c r="AO58" s="15"/>
      <x:c r="AP58" s="15"/>
      <x:c r="AQ58" s="15"/>
      <x:c r="AR58" s="15"/>
      <x:c r="AS58" s="15"/>
      <x:c r="AT58" s="15"/>
      <x:c r="AU58" s="16"/>
    </x:row>
    <x:row r="59">
      <x:c r="A59" s="14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  <x:c r="AA59" s="15"/>
      <x:c r="AB59" s="15"/>
      <x:c r="AC59" s="15"/>
      <x:c r="AD59" s="15"/>
      <x:c r="AE59" s="15"/>
      <x:c r="AF59" s="15"/>
      <x:c r="AG59" s="15"/>
      <x:c r="AH59" s="15"/>
      <x:c r="AI59" s="15"/>
      <x:c r="AJ59" s="15"/>
      <x:c r="AK59" s="15"/>
      <x:c r="AL59" s="15"/>
      <x:c r="AM59" s="15"/>
      <x:c r="AN59" s="15"/>
      <x:c r="AO59" s="15"/>
      <x:c r="AP59" s="15"/>
      <x:c r="AQ59" s="15"/>
      <x:c r="AR59" s="15"/>
      <x:c r="AS59" s="15"/>
      <x:c r="AT59" s="15"/>
      <x:c r="AU59" s="16"/>
    </x:row>
    <x:row r="60">
      <x:c r="A60" s="14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  <x:c r="AA60" s="15"/>
      <x:c r="AB60" s="15"/>
      <x:c r="AC60" s="15"/>
      <x:c r="AD60" s="15"/>
      <x:c r="AE60" s="15"/>
      <x:c r="AF60" s="15"/>
      <x:c r="AG60" s="15"/>
      <x:c r="AH60" s="15"/>
      <x:c r="AI60" s="15"/>
      <x:c r="AJ60" s="15"/>
      <x:c r="AK60" s="15"/>
      <x:c r="AL60" s="15"/>
      <x:c r="AM60" s="15"/>
      <x:c r="AN60" s="15"/>
      <x:c r="AO60" s="15"/>
      <x:c r="AP60" s="15"/>
      <x:c r="AQ60" s="15"/>
      <x:c r="AR60" s="15"/>
      <x:c r="AS60" s="15"/>
      <x:c r="AT60" s="15"/>
      <x:c r="AU60" s="16"/>
    </x:row>
    <x:row r="61">
      <x:c r="A61" s="14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  <x:c r="AA61" s="15"/>
      <x:c r="AB61" s="15"/>
      <x:c r="AC61" s="15"/>
      <x:c r="AD61" s="15"/>
      <x:c r="AE61" s="15"/>
      <x:c r="AF61" s="15"/>
      <x:c r="AG61" s="15"/>
      <x:c r="AH61" s="15"/>
      <x:c r="AI61" s="15"/>
      <x:c r="AJ61" s="15"/>
      <x:c r="AK61" s="15"/>
      <x:c r="AL61" s="15"/>
      <x:c r="AM61" s="15"/>
      <x:c r="AN61" s="15"/>
      <x:c r="AO61" s="15"/>
      <x:c r="AP61" s="15"/>
      <x:c r="AQ61" s="15"/>
      <x:c r="AR61" s="15"/>
      <x:c r="AS61" s="15"/>
      <x:c r="AT61" s="15"/>
      <x:c r="AU61" s="16"/>
    </x:row>
    <x:row r="62">
      <x:c r="A62" s="14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  <x:c r="AA62" s="15"/>
      <x:c r="AB62" s="15"/>
      <x:c r="AC62" s="15"/>
      <x:c r="AD62" s="15"/>
      <x:c r="AE62" s="15"/>
      <x:c r="AF62" s="15"/>
      <x:c r="AG62" s="15"/>
      <x:c r="AH62" s="15"/>
      <x:c r="AI62" s="15"/>
      <x:c r="AJ62" s="15"/>
      <x:c r="AK62" s="15"/>
      <x:c r="AL62" s="15"/>
      <x:c r="AM62" s="15"/>
      <x:c r="AN62" s="15"/>
      <x:c r="AO62" s="15"/>
      <x:c r="AP62" s="15"/>
      <x:c r="AQ62" s="15"/>
      <x:c r="AR62" s="15"/>
      <x:c r="AS62" s="15"/>
      <x:c r="AT62" s="15"/>
      <x:c r="AU62" s="16"/>
    </x:row>
    <x:row r="63">
      <x:c r="A63" s="14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  <x:c r="AA63" s="15"/>
      <x:c r="AB63" s="15"/>
      <x:c r="AC63" s="15"/>
      <x:c r="AD63" s="15"/>
      <x:c r="AE63" s="15"/>
      <x:c r="AF63" s="15"/>
      <x:c r="AG63" s="15"/>
      <x:c r="AH63" s="15"/>
      <x:c r="AI63" s="15"/>
      <x:c r="AJ63" s="15"/>
      <x:c r="AK63" s="15"/>
      <x:c r="AL63" s="15"/>
      <x:c r="AM63" s="15"/>
      <x:c r="AN63" s="15"/>
      <x:c r="AO63" s="15"/>
      <x:c r="AP63" s="15"/>
      <x:c r="AQ63" s="15"/>
      <x:c r="AR63" s="15"/>
      <x:c r="AS63" s="15"/>
      <x:c r="AT63" s="15"/>
      <x:c r="AU63" s="16"/>
    </x:row>
    <x:row r="64">
      <x:c r="A64" s="14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  <x:c r="AA64" s="15"/>
      <x:c r="AB64" s="15"/>
      <x:c r="AC64" s="15"/>
      <x:c r="AD64" s="15"/>
      <x:c r="AE64" s="15"/>
      <x:c r="AF64" s="15"/>
      <x:c r="AG64" s="15"/>
      <x:c r="AH64" s="15"/>
      <x:c r="AI64" s="15"/>
      <x:c r="AJ64" s="15"/>
      <x:c r="AK64" s="15"/>
      <x:c r="AL64" s="15"/>
      <x:c r="AM64" s="15"/>
      <x:c r="AN64" s="15"/>
      <x:c r="AO64" s="15"/>
      <x:c r="AP64" s="15"/>
      <x:c r="AQ64" s="15"/>
      <x:c r="AR64" s="15"/>
      <x:c r="AS64" s="15"/>
      <x:c r="AT64" s="15"/>
      <x:c r="AU64" s="16"/>
    </x:row>
    <x:row r="65">
      <x:c r="A65" s="14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  <x:c r="AA65" s="15"/>
      <x:c r="AB65" s="15"/>
      <x:c r="AC65" s="15"/>
      <x:c r="AD65" s="15"/>
      <x:c r="AE65" s="15"/>
      <x:c r="AF65" s="15"/>
      <x:c r="AG65" s="15"/>
      <x:c r="AH65" s="15"/>
      <x:c r="AI65" s="15"/>
      <x:c r="AJ65" s="15"/>
      <x:c r="AK65" s="15"/>
      <x:c r="AL65" s="15"/>
      <x:c r="AM65" s="15"/>
      <x:c r="AN65" s="15"/>
      <x:c r="AO65" s="15"/>
      <x:c r="AP65" s="15"/>
      <x:c r="AQ65" s="15"/>
      <x:c r="AR65" s="15"/>
      <x:c r="AS65" s="15"/>
      <x:c r="AT65" s="15"/>
      <x:c r="AU65" s="16"/>
    </x:row>
    <x:row r="66">
      <x:c r="A66" s="14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  <x:c r="AA66" s="15"/>
      <x:c r="AB66" s="15"/>
      <x:c r="AC66" s="15"/>
      <x:c r="AD66" s="15"/>
      <x:c r="AE66" s="15"/>
      <x:c r="AF66" s="15"/>
      <x:c r="AG66" s="15"/>
      <x:c r="AH66" s="15"/>
      <x:c r="AI66" s="15"/>
      <x:c r="AJ66" s="15"/>
      <x:c r="AK66" s="15"/>
      <x:c r="AL66" s="15"/>
      <x:c r="AM66" s="15"/>
      <x:c r="AN66" s="15"/>
      <x:c r="AO66" s="15"/>
      <x:c r="AP66" s="15"/>
      <x:c r="AQ66" s="15"/>
      <x:c r="AR66" s="15"/>
      <x:c r="AS66" s="15"/>
      <x:c r="AT66" s="15"/>
      <x:c r="AU66" s="16"/>
    </x:row>
    <x:row r="67">
      <x:c r="A67" s="14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  <x:c r="AA67" s="15"/>
      <x:c r="AB67" s="15"/>
      <x:c r="AC67" s="15"/>
      <x:c r="AD67" s="15"/>
      <x:c r="AE67" s="15"/>
      <x:c r="AF67" s="15"/>
      <x:c r="AG67" s="15"/>
      <x:c r="AH67" s="15"/>
      <x:c r="AI67" s="15"/>
      <x:c r="AJ67" s="15"/>
      <x:c r="AK67" s="15"/>
      <x:c r="AL67" s="15"/>
      <x:c r="AM67" s="15"/>
      <x:c r="AN67" s="15"/>
      <x:c r="AO67" s="15"/>
      <x:c r="AP67" s="15"/>
      <x:c r="AQ67" s="15"/>
      <x:c r="AR67" s="15"/>
      <x:c r="AS67" s="15"/>
      <x:c r="AT67" s="15"/>
      <x:c r="AU67" s="16"/>
    </x:row>
    <x:row r="68">
      <x:c r="A68" s="14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  <x:c r="AA68" s="15"/>
      <x:c r="AB68" s="15"/>
      <x:c r="AC68" s="15"/>
      <x:c r="AD68" s="15"/>
      <x:c r="AE68" s="15"/>
      <x:c r="AF68" s="15"/>
      <x:c r="AG68" s="15"/>
      <x:c r="AH68" s="15"/>
      <x:c r="AI68" s="15"/>
      <x:c r="AJ68" s="15"/>
      <x:c r="AK68" s="15"/>
      <x:c r="AL68" s="15"/>
      <x:c r="AM68" s="15"/>
      <x:c r="AN68" s="15"/>
      <x:c r="AO68" s="15"/>
      <x:c r="AP68" s="15"/>
      <x:c r="AQ68" s="15"/>
      <x:c r="AR68" s="15"/>
      <x:c r="AS68" s="15"/>
      <x:c r="AT68" s="15"/>
      <x:c r="AU68" s="16"/>
    </x:row>
    <x:row r="69">
      <x:c r="A69" s="14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  <x:c r="AA69" s="15"/>
      <x:c r="AB69" s="15"/>
      <x:c r="AC69" s="15"/>
      <x:c r="AD69" s="15"/>
      <x:c r="AE69" s="15"/>
      <x:c r="AF69" s="15"/>
      <x:c r="AG69" s="15"/>
      <x:c r="AH69" s="15"/>
      <x:c r="AI69" s="15"/>
      <x:c r="AJ69" s="15"/>
      <x:c r="AK69" s="15"/>
      <x:c r="AL69" s="15"/>
      <x:c r="AM69" s="15"/>
      <x:c r="AN69" s="15"/>
      <x:c r="AO69" s="15"/>
      <x:c r="AP69" s="15"/>
      <x:c r="AQ69" s="15"/>
      <x:c r="AR69" s="15"/>
      <x:c r="AS69" s="15"/>
      <x:c r="AT69" s="15"/>
      <x:c r="AU69" s="16"/>
    </x:row>
    <x:row r="70">
      <x:c r="A70" s="14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  <x:c r="AA70" s="15"/>
      <x:c r="AB70" s="15"/>
      <x:c r="AC70" s="15"/>
      <x:c r="AD70" s="15"/>
      <x:c r="AE70" s="15"/>
      <x:c r="AF70" s="15"/>
      <x:c r="AG70" s="15"/>
      <x:c r="AH70" s="15"/>
      <x:c r="AI70" s="15"/>
      <x:c r="AJ70" s="15"/>
      <x:c r="AK70" s="15"/>
      <x:c r="AL70" s="15"/>
      <x:c r="AM70" s="15"/>
      <x:c r="AN70" s="15"/>
      <x:c r="AO70" s="15"/>
      <x:c r="AP70" s="15"/>
      <x:c r="AQ70" s="15"/>
      <x:c r="AR70" s="15"/>
      <x:c r="AS70" s="15"/>
      <x:c r="AT70" s="15"/>
      <x:c r="AU70" s="16"/>
    </x:row>
    <x:row r="71">
      <x:c r="A71" s="14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  <x:c r="AA71" s="15"/>
      <x:c r="AB71" s="15"/>
      <x:c r="AC71" s="15"/>
      <x:c r="AD71" s="15"/>
      <x:c r="AE71" s="15"/>
      <x:c r="AF71" s="15"/>
      <x:c r="AG71" s="15"/>
      <x:c r="AH71" s="15"/>
      <x:c r="AI71" s="15"/>
      <x:c r="AJ71" s="15"/>
      <x:c r="AK71" s="15"/>
      <x:c r="AL71" s="15"/>
      <x:c r="AM71" s="15"/>
      <x:c r="AN71" s="15"/>
      <x:c r="AO71" s="15"/>
      <x:c r="AP71" s="15"/>
      <x:c r="AQ71" s="15"/>
      <x:c r="AR71" s="15"/>
      <x:c r="AS71" s="15"/>
      <x:c r="AT71" s="15"/>
      <x:c r="AU71" s="16"/>
    </x:row>
    <x:row r="72">
      <x:c r="A72" s="14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  <x:c r="AA72" s="15"/>
      <x:c r="AB72" s="15"/>
      <x:c r="AC72" s="15"/>
      <x:c r="AD72" s="15"/>
      <x:c r="AE72" s="15"/>
      <x:c r="AF72" s="15"/>
      <x:c r="AG72" s="15"/>
      <x:c r="AH72" s="15"/>
      <x:c r="AI72" s="15"/>
      <x:c r="AJ72" s="15"/>
      <x:c r="AK72" s="15"/>
      <x:c r="AL72" s="15"/>
      <x:c r="AM72" s="15"/>
      <x:c r="AN72" s="15"/>
      <x:c r="AO72" s="15"/>
      <x:c r="AP72" s="15"/>
      <x:c r="AQ72" s="15"/>
      <x:c r="AR72" s="15"/>
      <x:c r="AS72" s="15"/>
      <x:c r="AT72" s="15"/>
      <x:c r="AU72" s="16"/>
    </x:row>
    <x:row r="73">
      <x:c r="A73" s="14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  <x:c r="AA73" s="15"/>
      <x:c r="AB73" s="15"/>
      <x:c r="AC73" s="15"/>
      <x:c r="AD73" s="15"/>
      <x:c r="AE73" s="15"/>
      <x:c r="AF73" s="15"/>
      <x:c r="AG73" s="15"/>
      <x:c r="AH73" s="15"/>
      <x:c r="AI73" s="15"/>
      <x:c r="AJ73" s="15"/>
      <x:c r="AK73" s="15"/>
      <x:c r="AL73" s="15"/>
      <x:c r="AM73" s="15"/>
      <x:c r="AN73" s="15"/>
      <x:c r="AO73" s="15"/>
      <x:c r="AP73" s="15"/>
      <x:c r="AQ73" s="15"/>
      <x:c r="AR73" s="15"/>
      <x:c r="AS73" s="15"/>
      <x:c r="AT73" s="15"/>
      <x:c r="AU73" s="16"/>
    </x:row>
    <x:row r="74">
      <x:c r="A74" s="14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  <x:c r="AA74" s="15"/>
      <x:c r="AB74" s="15"/>
      <x:c r="AC74" s="15"/>
      <x:c r="AD74" s="15"/>
      <x:c r="AE74" s="15"/>
      <x:c r="AF74" s="15"/>
      <x:c r="AG74" s="15"/>
      <x:c r="AH74" s="15"/>
      <x:c r="AI74" s="15"/>
      <x:c r="AJ74" s="15"/>
      <x:c r="AK74" s="15"/>
      <x:c r="AL74" s="15"/>
      <x:c r="AM74" s="15"/>
      <x:c r="AN74" s="15"/>
      <x:c r="AO74" s="15"/>
      <x:c r="AP74" s="15"/>
      <x:c r="AQ74" s="15"/>
      <x:c r="AR74" s="15"/>
      <x:c r="AS74" s="15"/>
      <x:c r="AT74" s="15"/>
      <x:c r="AU74" s="16"/>
    </x:row>
    <x:row r="75">
      <x:c r="A75" s="14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  <x:c r="AA75" s="15"/>
      <x:c r="AB75" s="15"/>
      <x:c r="AC75" s="15"/>
      <x:c r="AD75" s="15"/>
      <x:c r="AE75" s="15"/>
      <x:c r="AF75" s="15"/>
      <x:c r="AG75" s="15"/>
      <x:c r="AH75" s="15"/>
      <x:c r="AI75" s="15"/>
      <x:c r="AJ75" s="15"/>
      <x:c r="AK75" s="15"/>
      <x:c r="AL75" s="15"/>
      <x:c r="AM75" s="15"/>
      <x:c r="AN75" s="15"/>
      <x:c r="AO75" s="15"/>
      <x:c r="AP75" s="15"/>
      <x:c r="AQ75" s="15"/>
      <x:c r="AR75" s="15"/>
      <x:c r="AS75" s="15"/>
      <x:c r="AT75" s="15"/>
      <x:c r="AU75" s="16"/>
    </x:row>
    <x:row r="76">
      <x:c r="A76" s="14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  <x:c r="AA76" s="15"/>
      <x:c r="AB76" s="15"/>
      <x:c r="AC76" s="15"/>
      <x:c r="AD76" s="15"/>
      <x:c r="AE76" s="15"/>
      <x:c r="AF76" s="15"/>
      <x:c r="AG76" s="15"/>
      <x:c r="AH76" s="15"/>
      <x:c r="AI76" s="15"/>
      <x:c r="AJ76" s="15"/>
      <x:c r="AK76" s="15"/>
      <x:c r="AL76" s="15"/>
      <x:c r="AM76" s="15"/>
      <x:c r="AN76" s="15"/>
      <x:c r="AO76" s="15"/>
      <x:c r="AP76" s="15"/>
      <x:c r="AQ76" s="15"/>
      <x:c r="AR76" s="15"/>
      <x:c r="AS76" s="15"/>
      <x:c r="AT76" s="15"/>
      <x:c r="AU76" s="16"/>
    </x:row>
    <x:row r="77">
      <x:c r="A77" s="14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  <x:c r="AA77" s="15"/>
      <x:c r="AB77" s="15"/>
      <x:c r="AC77" s="15"/>
      <x:c r="AD77" s="15"/>
      <x:c r="AE77" s="15"/>
      <x:c r="AF77" s="15"/>
      <x:c r="AG77" s="15"/>
      <x:c r="AH77" s="15"/>
      <x:c r="AI77" s="15"/>
      <x:c r="AJ77" s="15"/>
      <x:c r="AK77" s="15"/>
      <x:c r="AL77" s="15"/>
      <x:c r="AM77" s="15"/>
      <x:c r="AN77" s="15"/>
      <x:c r="AO77" s="15"/>
      <x:c r="AP77" s="15"/>
      <x:c r="AQ77" s="15"/>
      <x:c r="AR77" s="15"/>
      <x:c r="AS77" s="15"/>
      <x:c r="AT77" s="15"/>
      <x:c r="AU77" s="16"/>
    </x:row>
    <x:row r="78">
      <x:c r="A78" s="14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  <x:c r="AA78" s="15"/>
      <x:c r="AB78" s="15"/>
      <x:c r="AC78" s="15"/>
      <x:c r="AD78" s="15"/>
      <x:c r="AE78" s="15"/>
      <x:c r="AF78" s="15"/>
      <x:c r="AG78" s="15"/>
      <x:c r="AH78" s="15"/>
      <x:c r="AI78" s="15"/>
      <x:c r="AJ78" s="15"/>
      <x:c r="AK78" s="15"/>
      <x:c r="AL78" s="15"/>
      <x:c r="AM78" s="15"/>
      <x:c r="AN78" s="15"/>
      <x:c r="AO78" s="15"/>
      <x:c r="AP78" s="15"/>
      <x:c r="AQ78" s="15"/>
      <x:c r="AR78" s="15"/>
      <x:c r="AS78" s="15"/>
      <x:c r="AT78" s="15"/>
      <x:c r="AU78" s="16"/>
    </x:row>
    <x:row r="79">
      <x:c r="A79" s="14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  <x:c r="AA79" s="15"/>
      <x:c r="AB79" s="15"/>
      <x:c r="AC79" s="15"/>
      <x:c r="AD79" s="15"/>
      <x:c r="AE79" s="15"/>
      <x:c r="AF79" s="15"/>
      <x:c r="AG79" s="15"/>
      <x:c r="AH79" s="15"/>
      <x:c r="AI79" s="15"/>
      <x:c r="AJ79" s="15"/>
      <x:c r="AK79" s="15"/>
      <x:c r="AL79" s="15"/>
      <x:c r="AM79" s="15"/>
      <x:c r="AN79" s="15"/>
      <x:c r="AO79" s="15"/>
      <x:c r="AP79" s="15"/>
      <x:c r="AQ79" s="15"/>
      <x:c r="AR79" s="15"/>
      <x:c r="AS79" s="15"/>
      <x:c r="AT79" s="15"/>
      <x:c r="AU79" s="16"/>
    </x:row>
    <x:row r="80">
      <x:c r="A80" s="14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  <x:c r="AA80" s="15"/>
      <x:c r="AB80" s="15"/>
      <x:c r="AC80" s="15"/>
      <x:c r="AD80" s="15"/>
      <x:c r="AE80" s="15"/>
      <x:c r="AF80" s="15"/>
      <x:c r="AG80" s="15"/>
      <x:c r="AH80" s="15"/>
      <x:c r="AI80" s="15"/>
      <x:c r="AJ80" s="15"/>
      <x:c r="AK80" s="15"/>
      <x:c r="AL80" s="15"/>
      <x:c r="AM80" s="15"/>
      <x:c r="AN80" s="15"/>
      <x:c r="AO80" s="15"/>
      <x:c r="AP80" s="15"/>
      <x:c r="AQ80" s="15"/>
      <x:c r="AR80" s="15"/>
      <x:c r="AS80" s="15"/>
      <x:c r="AT80" s="15"/>
      <x:c r="AU80" s="16"/>
    </x:row>
    <x:row r="81">
      <x:c r="A81" s="14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  <x:c r="AA81" s="15"/>
      <x:c r="AB81" s="15"/>
      <x:c r="AC81" s="15"/>
      <x:c r="AD81" s="15"/>
      <x:c r="AE81" s="15"/>
      <x:c r="AF81" s="15"/>
      <x:c r="AG81" s="15"/>
      <x:c r="AH81" s="15"/>
      <x:c r="AI81" s="15"/>
      <x:c r="AJ81" s="15"/>
      <x:c r="AK81" s="15"/>
      <x:c r="AL81" s="15"/>
      <x:c r="AM81" s="15"/>
      <x:c r="AN81" s="15"/>
      <x:c r="AO81" s="15"/>
      <x:c r="AP81" s="15"/>
      <x:c r="AQ81" s="15"/>
      <x:c r="AR81" s="15"/>
      <x:c r="AS81" s="15"/>
      <x:c r="AT81" s="15"/>
      <x:c r="AU81" s="16"/>
    </x:row>
    <x:row r="82">
      <x:c r="A82" s="14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  <x:c r="AA82" s="15"/>
      <x:c r="AB82" s="15"/>
      <x:c r="AC82" s="15"/>
      <x:c r="AD82" s="15"/>
      <x:c r="AE82" s="15"/>
      <x:c r="AF82" s="15"/>
      <x:c r="AG82" s="15"/>
      <x:c r="AH82" s="15"/>
      <x:c r="AI82" s="15"/>
      <x:c r="AJ82" s="15"/>
      <x:c r="AK82" s="15"/>
      <x:c r="AL82" s="15"/>
      <x:c r="AM82" s="15"/>
      <x:c r="AN82" s="15"/>
      <x:c r="AO82" s="15"/>
      <x:c r="AP82" s="15"/>
      <x:c r="AQ82" s="15"/>
      <x:c r="AR82" s="15"/>
      <x:c r="AS82" s="15"/>
      <x:c r="AT82" s="15"/>
      <x:c r="AU82" s="16"/>
    </x:row>
    <x:row r="83">
      <x:c r="A83" s="14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  <x:c r="AA83" s="15"/>
      <x:c r="AB83" s="15"/>
      <x:c r="AC83" s="15"/>
      <x:c r="AD83" s="15"/>
      <x:c r="AE83" s="15"/>
      <x:c r="AF83" s="15"/>
      <x:c r="AG83" s="15"/>
      <x:c r="AH83" s="15"/>
      <x:c r="AI83" s="15"/>
      <x:c r="AJ83" s="15"/>
      <x:c r="AK83" s="15"/>
      <x:c r="AL83" s="15"/>
      <x:c r="AM83" s="15"/>
      <x:c r="AN83" s="15"/>
      <x:c r="AO83" s="15"/>
      <x:c r="AP83" s="15"/>
      <x:c r="AQ83" s="15"/>
      <x:c r="AR83" s="15"/>
      <x:c r="AS83" s="15"/>
      <x:c r="AT83" s="15"/>
      <x:c r="AU83" s="16"/>
    </x:row>
    <x:row r="84">
      <x:c r="A84" s="14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  <x:c r="AA84" s="15"/>
      <x:c r="AB84" s="15"/>
      <x:c r="AC84" s="15"/>
      <x:c r="AD84" s="15"/>
      <x:c r="AE84" s="15"/>
      <x:c r="AF84" s="15"/>
      <x:c r="AG84" s="15"/>
      <x:c r="AH84" s="15"/>
      <x:c r="AI84" s="15"/>
      <x:c r="AJ84" s="15"/>
      <x:c r="AK84" s="15"/>
      <x:c r="AL84" s="15"/>
      <x:c r="AM84" s="15"/>
      <x:c r="AN84" s="15"/>
      <x:c r="AO84" s="15"/>
      <x:c r="AP84" s="15"/>
      <x:c r="AQ84" s="15"/>
      <x:c r="AR84" s="15"/>
      <x:c r="AS84" s="15"/>
      <x:c r="AT84" s="15"/>
      <x:c r="AU84" s="16"/>
    </x:row>
    <x:row r="85">
      <x:c r="A85" s="14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  <x:c r="AA85" s="15"/>
      <x:c r="AB85" s="15"/>
      <x:c r="AC85" s="15"/>
      <x:c r="AD85" s="15"/>
      <x:c r="AE85" s="15"/>
      <x:c r="AF85" s="15"/>
      <x:c r="AG85" s="15"/>
      <x:c r="AH85" s="15"/>
      <x:c r="AI85" s="15"/>
      <x:c r="AJ85" s="15"/>
      <x:c r="AK85" s="15"/>
      <x:c r="AL85" s="15"/>
      <x:c r="AM85" s="15"/>
      <x:c r="AN85" s="15"/>
      <x:c r="AO85" s="15"/>
      <x:c r="AP85" s="15"/>
      <x:c r="AQ85" s="15"/>
      <x:c r="AR85" s="15"/>
      <x:c r="AS85" s="15"/>
      <x:c r="AT85" s="15"/>
      <x:c r="AU85" s="16"/>
    </x:row>
    <x:row r="86">
      <x:c r="A86" s="14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  <x:c r="AA86" s="15"/>
      <x:c r="AB86" s="15"/>
      <x:c r="AC86" s="15"/>
      <x:c r="AD86" s="15"/>
      <x:c r="AE86" s="15"/>
      <x:c r="AF86" s="15"/>
      <x:c r="AG86" s="15"/>
      <x:c r="AH86" s="15"/>
      <x:c r="AI86" s="15"/>
      <x:c r="AJ86" s="15"/>
      <x:c r="AK86" s="15"/>
      <x:c r="AL86" s="15"/>
      <x:c r="AM86" s="15"/>
      <x:c r="AN86" s="15"/>
      <x:c r="AO86" s="15"/>
      <x:c r="AP86" s="15"/>
      <x:c r="AQ86" s="15"/>
      <x:c r="AR86" s="15"/>
      <x:c r="AS86" s="15"/>
      <x:c r="AT86" s="15"/>
      <x:c r="AU86" s="16"/>
    </x:row>
    <x:row r="87">
      <x:c r="A87" s="14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  <x:c r="AA87" s="15"/>
      <x:c r="AB87" s="15"/>
      <x:c r="AC87" s="15"/>
      <x:c r="AD87" s="15"/>
      <x:c r="AE87" s="15"/>
      <x:c r="AF87" s="15"/>
      <x:c r="AG87" s="15"/>
      <x:c r="AH87" s="15"/>
      <x:c r="AI87" s="15"/>
      <x:c r="AJ87" s="15"/>
      <x:c r="AK87" s="15"/>
      <x:c r="AL87" s="15"/>
      <x:c r="AM87" s="15"/>
      <x:c r="AN87" s="15"/>
      <x:c r="AO87" s="15"/>
      <x:c r="AP87" s="15"/>
      <x:c r="AQ87" s="15"/>
      <x:c r="AR87" s="15"/>
      <x:c r="AS87" s="15"/>
      <x:c r="AT87" s="15"/>
      <x:c r="AU87" s="16"/>
    </x:row>
    <x:row r="88">
      <x:c r="A88" s="14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  <x:c r="AA88" s="15"/>
      <x:c r="AB88" s="15"/>
      <x:c r="AC88" s="15"/>
      <x:c r="AD88" s="15"/>
      <x:c r="AE88" s="15"/>
      <x:c r="AF88" s="15"/>
      <x:c r="AG88" s="15"/>
      <x:c r="AH88" s="15"/>
      <x:c r="AI88" s="15"/>
      <x:c r="AJ88" s="15"/>
      <x:c r="AK88" s="15"/>
      <x:c r="AL88" s="15"/>
      <x:c r="AM88" s="15"/>
      <x:c r="AN88" s="15"/>
      <x:c r="AO88" s="15"/>
      <x:c r="AP88" s="15"/>
      <x:c r="AQ88" s="15"/>
      <x:c r="AR88" s="15"/>
      <x:c r="AS88" s="15"/>
      <x:c r="AT88" s="15"/>
      <x:c r="AU88" s="16"/>
    </x:row>
    <x:row r="89">
      <x:c r="A89" s="14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  <x:c r="AA89" s="15"/>
      <x:c r="AB89" s="15"/>
      <x:c r="AC89" s="15"/>
      <x:c r="AD89" s="15"/>
      <x:c r="AE89" s="15"/>
      <x:c r="AF89" s="15"/>
      <x:c r="AG89" s="15"/>
      <x:c r="AH89" s="15"/>
      <x:c r="AI89" s="15"/>
      <x:c r="AJ89" s="15"/>
      <x:c r="AK89" s="15"/>
      <x:c r="AL89" s="15"/>
      <x:c r="AM89" s="15"/>
      <x:c r="AN89" s="15"/>
      <x:c r="AO89" s="15"/>
      <x:c r="AP89" s="15"/>
      <x:c r="AQ89" s="15"/>
      <x:c r="AR89" s="15"/>
      <x:c r="AS89" s="15"/>
      <x:c r="AT89" s="15"/>
      <x:c r="AU89" s="16"/>
    </x:row>
    <x:row r="90">
      <x:c r="A90" s="14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  <x:c r="AA90" s="15"/>
      <x:c r="AB90" s="15"/>
      <x:c r="AC90" s="15"/>
      <x:c r="AD90" s="15"/>
      <x:c r="AE90" s="15"/>
      <x:c r="AF90" s="15"/>
      <x:c r="AG90" s="15"/>
      <x:c r="AH90" s="15"/>
      <x:c r="AI90" s="15"/>
      <x:c r="AJ90" s="15"/>
      <x:c r="AK90" s="15"/>
      <x:c r="AL90" s="15"/>
      <x:c r="AM90" s="15"/>
      <x:c r="AN90" s="15"/>
      <x:c r="AO90" s="15"/>
      <x:c r="AP90" s="15"/>
      <x:c r="AQ90" s="15"/>
      <x:c r="AR90" s="15"/>
      <x:c r="AS90" s="15"/>
      <x:c r="AT90" s="15"/>
      <x:c r="AU90" s="16"/>
    </x:row>
    <x:row r="91">
      <x:c r="A91" s="14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  <x:c r="AA91" s="15"/>
      <x:c r="AB91" s="15"/>
      <x:c r="AC91" s="15"/>
      <x:c r="AD91" s="15"/>
      <x:c r="AE91" s="15"/>
      <x:c r="AF91" s="15"/>
      <x:c r="AG91" s="15"/>
      <x:c r="AH91" s="15"/>
      <x:c r="AI91" s="15"/>
      <x:c r="AJ91" s="15"/>
      <x:c r="AK91" s="15"/>
      <x:c r="AL91" s="15"/>
      <x:c r="AM91" s="15"/>
      <x:c r="AN91" s="15"/>
      <x:c r="AO91" s="15"/>
      <x:c r="AP91" s="15"/>
      <x:c r="AQ91" s="15"/>
      <x:c r="AR91" s="15"/>
      <x:c r="AS91" s="15"/>
      <x:c r="AT91" s="15"/>
      <x:c r="AU91" s="16"/>
    </x:row>
    <x:row r="92">
      <x:c r="A92" s="14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  <x:c r="AA92" s="15"/>
      <x:c r="AB92" s="15"/>
      <x:c r="AC92" s="15"/>
      <x:c r="AD92" s="15"/>
      <x:c r="AE92" s="15"/>
      <x:c r="AF92" s="15"/>
      <x:c r="AG92" s="15"/>
      <x:c r="AH92" s="15"/>
      <x:c r="AI92" s="15"/>
      <x:c r="AJ92" s="15"/>
      <x:c r="AK92" s="15"/>
      <x:c r="AL92" s="15"/>
      <x:c r="AM92" s="15"/>
      <x:c r="AN92" s="15"/>
      <x:c r="AO92" s="15"/>
      <x:c r="AP92" s="15"/>
      <x:c r="AQ92" s="15"/>
      <x:c r="AR92" s="15"/>
      <x:c r="AS92" s="15"/>
      <x:c r="AT92" s="15"/>
      <x:c r="AU92" s="16"/>
    </x:row>
    <x:row r="93">
      <x:c r="A93" s="14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  <x:c r="AA93" s="15"/>
      <x:c r="AB93" s="15"/>
      <x:c r="AC93" s="15"/>
      <x:c r="AD93" s="15"/>
      <x:c r="AE93" s="15"/>
      <x:c r="AF93" s="15"/>
      <x:c r="AG93" s="15"/>
      <x:c r="AH93" s="15"/>
      <x:c r="AI93" s="15"/>
      <x:c r="AJ93" s="15"/>
      <x:c r="AK93" s="15"/>
      <x:c r="AL93" s="15"/>
      <x:c r="AM93" s="15"/>
      <x:c r="AN93" s="15"/>
      <x:c r="AO93" s="15"/>
      <x:c r="AP93" s="15"/>
      <x:c r="AQ93" s="15"/>
      <x:c r="AR93" s="15"/>
      <x:c r="AS93" s="15"/>
      <x:c r="AT93" s="15"/>
      <x:c r="AU93" s="16"/>
    </x:row>
    <x:row r="94">
      <x:c r="A94" s="14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  <x:c r="AA94" s="15"/>
      <x:c r="AB94" s="15"/>
      <x:c r="AC94" s="15"/>
      <x:c r="AD94" s="15"/>
      <x:c r="AE94" s="15"/>
      <x:c r="AF94" s="15"/>
      <x:c r="AG94" s="15"/>
      <x:c r="AH94" s="15"/>
      <x:c r="AI94" s="15"/>
      <x:c r="AJ94" s="15"/>
      <x:c r="AK94" s="15"/>
      <x:c r="AL94" s="15"/>
      <x:c r="AM94" s="15"/>
      <x:c r="AN94" s="15"/>
      <x:c r="AO94" s="15"/>
      <x:c r="AP94" s="15"/>
      <x:c r="AQ94" s="15"/>
      <x:c r="AR94" s="15"/>
      <x:c r="AS94" s="15"/>
      <x:c r="AT94" s="15"/>
      <x:c r="AU94" s="16"/>
    </x:row>
    <x:row r="95">
      <x:c r="A95" s="14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  <x:c r="AA95" s="15"/>
      <x:c r="AB95" s="15"/>
      <x:c r="AC95" s="15"/>
      <x:c r="AD95" s="15"/>
      <x:c r="AE95" s="15"/>
      <x:c r="AF95" s="15"/>
      <x:c r="AG95" s="15"/>
      <x:c r="AH95" s="15"/>
      <x:c r="AI95" s="15"/>
      <x:c r="AJ95" s="15"/>
      <x:c r="AK95" s="15"/>
      <x:c r="AL95" s="15"/>
      <x:c r="AM95" s="15"/>
      <x:c r="AN95" s="15"/>
      <x:c r="AO95" s="15"/>
      <x:c r="AP95" s="15"/>
      <x:c r="AQ95" s="15"/>
      <x:c r="AR95" s="15"/>
      <x:c r="AS95" s="15"/>
      <x:c r="AT95" s="15"/>
      <x:c r="AU95" s="16"/>
    </x:row>
    <x:row r="96">
      <x:c r="A96" s="14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  <x:c r="AA96" s="15"/>
      <x:c r="AB96" s="15"/>
      <x:c r="AC96" s="15"/>
      <x:c r="AD96" s="15"/>
      <x:c r="AE96" s="15"/>
      <x:c r="AF96" s="15"/>
      <x:c r="AG96" s="15"/>
      <x:c r="AH96" s="15"/>
      <x:c r="AI96" s="15"/>
      <x:c r="AJ96" s="15"/>
      <x:c r="AK96" s="15"/>
      <x:c r="AL96" s="15"/>
      <x:c r="AM96" s="15"/>
      <x:c r="AN96" s="15"/>
      <x:c r="AO96" s="15"/>
      <x:c r="AP96" s="15"/>
      <x:c r="AQ96" s="15"/>
      <x:c r="AR96" s="15"/>
      <x:c r="AS96" s="15"/>
      <x:c r="AT96" s="15"/>
      <x:c r="AU96" s="16"/>
    </x:row>
    <x:row r="97">
      <x:c r="A97" s="14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  <x:c r="AA97" s="15"/>
      <x:c r="AB97" s="15"/>
      <x:c r="AC97" s="15"/>
      <x:c r="AD97" s="15"/>
      <x:c r="AE97" s="15"/>
      <x:c r="AF97" s="15"/>
      <x:c r="AG97" s="15"/>
      <x:c r="AH97" s="15"/>
      <x:c r="AI97" s="15"/>
      <x:c r="AJ97" s="15"/>
      <x:c r="AK97" s="15"/>
      <x:c r="AL97" s="15"/>
      <x:c r="AM97" s="15"/>
      <x:c r="AN97" s="15"/>
      <x:c r="AO97" s="15"/>
      <x:c r="AP97" s="15"/>
      <x:c r="AQ97" s="15"/>
      <x:c r="AR97" s="15"/>
      <x:c r="AS97" s="15"/>
      <x:c r="AT97" s="15"/>
      <x:c r="AU97" s="16"/>
    </x:row>
    <x:row r="98">
      <x:c r="A98" s="14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  <x:c r="AA98" s="15"/>
      <x:c r="AB98" s="15"/>
      <x:c r="AC98" s="15"/>
      <x:c r="AD98" s="15"/>
      <x:c r="AE98" s="15"/>
      <x:c r="AF98" s="15"/>
      <x:c r="AG98" s="15"/>
      <x:c r="AH98" s="15"/>
      <x:c r="AI98" s="15"/>
      <x:c r="AJ98" s="15"/>
      <x:c r="AK98" s="15"/>
      <x:c r="AL98" s="15"/>
      <x:c r="AM98" s="15"/>
      <x:c r="AN98" s="15"/>
      <x:c r="AO98" s="15"/>
      <x:c r="AP98" s="15"/>
      <x:c r="AQ98" s="15"/>
      <x:c r="AR98" s="15"/>
      <x:c r="AS98" s="15"/>
      <x:c r="AT98" s="15"/>
      <x:c r="AU98" s="16"/>
    </x:row>
    <x:row r="99">
      <x:c r="A99" s="14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  <x:c r="AA99" s="15"/>
      <x:c r="AB99" s="15"/>
      <x:c r="AC99" s="15"/>
      <x:c r="AD99" s="15"/>
      <x:c r="AE99" s="15"/>
      <x:c r="AF99" s="15"/>
      <x:c r="AG99" s="15"/>
      <x:c r="AH99" s="15"/>
      <x:c r="AI99" s="15"/>
      <x:c r="AJ99" s="15"/>
      <x:c r="AK99" s="15"/>
      <x:c r="AL99" s="15"/>
      <x:c r="AM99" s="15"/>
      <x:c r="AN99" s="15"/>
      <x:c r="AO99" s="15"/>
      <x:c r="AP99" s="15"/>
      <x:c r="AQ99" s="15"/>
      <x:c r="AR99" s="15"/>
      <x:c r="AS99" s="15"/>
      <x:c r="AT99" s="15"/>
      <x:c r="AU99" s="16"/>
    </x:row>
    <x:row r="100">
      <x:c r="A100" s="14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  <x:c r="AA100" s="15"/>
      <x:c r="AB100" s="15"/>
      <x:c r="AC100" s="15"/>
      <x:c r="AD100" s="15"/>
      <x:c r="AE100" s="15"/>
      <x:c r="AF100" s="15"/>
      <x:c r="AG100" s="15"/>
      <x:c r="AH100" s="15"/>
      <x:c r="AI100" s="15"/>
      <x:c r="AJ100" s="15"/>
      <x:c r="AK100" s="15"/>
      <x:c r="AL100" s="15"/>
      <x:c r="AM100" s="15"/>
      <x:c r="AN100" s="15"/>
      <x:c r="AO100" s="15"/>
      <x:c r="AP100" s="15"/>
      <x:c r="AQ100" s="15"/>
      <x:c r="AR100" s="15"/>
      <x:c r="AS100" s="15"/>
      <x:c r="AT100" s="15"/>
      <x:c r="AU100" s="16"/>
    </x:row>
    <x:row r="101">
      <x:c r="A101" s="17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  <x:c r="AA101" s="18"/>
      <x:c r="AB101" s="18"/>
      <x:c r="AC101" s="18"/>
      <x:c r="AD101" s="18"/>
      <x:c r="AE101" s="18"/>
      <x:c r="AF101" s="18"/>
      <x:c r="AG101" s="18"/>
      <x:c r="AH101" s="18"/>
      <x:c r="AI101" s="18"/>
      <x:c r="AJ101" s="18"/>
      <x:c r="AK101" s="18"/>
      <x:c r="AL101" s="18"/>
      <x:c r="AM101" s="18"/>
      <x:c r="AN101" s="18"/>
      <x:c r="AO101" s="18"/>
      <x:c r="AP101" s="18"/>
      <x:c r="AQ101" s="18"/>
      <x:c r="AR101" s="18"/>
      <x:c r="AS101" s="18"/>
      <x:c r="AT101" s="18"/>
      <x:c r="AU101" s="1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380000114440918" hidden="0" customWidth="1"/>
    <x:col min="2" max="2" width="4.25" hidden="0" customWidth="1"/>
    <x:col min="3" max="3" width="6" hidden="0" customWidth="1"/>
    <x:col min="4" max="4" width="4.25" hidden="0" customWidth="1"/>
    <x:col min="5" max="5" width="4.25" hidden="0" customWidth="1"/>
    <x:col min="6" max="6" width="6" hidden="0" customWidth="1"/>
    <x:col min="7" max="7" width="2.75" hidden="0" customWidth="1"/>
    <x:col min="8" max="8" width="3.880000114440918" hidden="0" customWidth="1"/>
    <x:col min="9" max="9" width="7.880000114440918" hidden="0" customWidth="1"/>
    <x:col min="10" max="10" width="13.380000114440918" hidden="0" customWidth="1"/>
    <x:col min="11" max="11" width="11.5" hidden="0" customWidth="1"/>
    <x:col min="12" max="12" width="9.75" hidden="0" customWidth="1"/>
    <x:col min="13" max="13" width="11.5" hidden="0" customWidth="1"/>
    <x:col min="14" max="14" width="7.880000114440918" hidden="0" customWidth="1"/>
    <x:col min="15" max="15" width="5.130000114440918" hidden="0" customWidth="1"/>
    <x:col min="16" max="16" width="6" hidden="0" customWidth="1"/>
    <x:col min="17" max="17" width="4.25" hidden="0" customWidth="1"/>
    <x:col min="18" max="18" width="7.880000114440918" hidden="0" customWidth="1"/>
    <x:col min="19" max="19" width="4.25" hidden="0" customWidth="1"/>
    <x:col min="20" max="20" width="4.25" hidden="0" customWidth="1"/>
    <x:col min="21" max="21" width="11.5" hidden="0" customWidth="1"/>
    <x:col min="22" max="22" width="11.5" hidden="0" customWidth="1"/>
    <x:col min="23" max="23" width="11.5" hidden="0" customWidth="1"/>
    <x:col min="24" max="24" width="7.880000114440918" hidden="0" customWidth="1"/>
    <x:col min="25" max="25" width="3.880000114440918" hidden="0" customWidth="1"/>
    <x:col min="26" max="26" width="15.25" hidden="0" customWidth="1"/>
    <x:col min="27" max="27" width="6" hidden="0" customWidth="1"/>
    <x:col min="28" max="28" width="6" hidden="0" customWidth="1"/>
    <x:col min="29" max="29" width="2.380000114440918" hidden="0" customWidth="1"/>
    <x:col min="30" max="30" width="6" hidden="0" customWidth="1"/>
    <x:col min="31" max="31" width="12.5" hidden="0" customWidth="1"/>
    <x:col min="32" max="32" width="18" hidden="0" customWidth="1"/>
    <x:col min="33" max="33" width="16.25" hidden="0" customWidth="1"/>
    <x:col min="34" max="34" width="14.380000114440918" hidden="0" customWidth="1"/>
    <x:col min="35" max="35" width="16.25" hidden="0" customWidth="1"/>
    <x:col min="36" max="36" width="12.5" hidden="0" customWidth="1"/>
    <x:col min="37" max="37" width="9.75" hidden="0" customWidth="1"/>
    <x:col min="38" max="38" width="10.75" hidden="0" customWidth="1"/>
    <x:col min="39" max="39" width="8.880000114440918" hidden="0" customWidth="1"/>
    <x:col min="40" max="40" width="12.5" hidden="0" customWidth="1"/>
    <x:col min="41" max="41" width="8.880000114440918" hidden="0" customWidth="1"/>
    <x:col min="42" max="42" width="8.880000114440918" hidden="0" customWidth="1"/>
    <x:col min="43" max="43" width="16.25" hidden="0" customWidth="1"/>
    <x:col min="44" max="44" width="16.25" hidden="0" customWidth="1"/>
    <x:col min="45" max="45" width="16.25" hidden="0" customWidth="1"/>
    <x:col min="46" max="46" width="12.5" hidden="0" customWidth="1"/>
  </x:cols>
  <x:sheetData>
    <x:row r="1">
      <x:c r="A1" s="11" t="str">
        <x:v>팀</x:v>
      </x:c>
      <x:c r="B1" s="12" t="str">
        <x:v>선수</x:v>
      </x:c>
      <x:c r="C1" s="12" t="str">
        <x:v>포지션</x:v>
      </x:c>
      <x:c r="D1" s="12" t="str">
        <x:v>신장</x:v>
      </x:c>
      <x:c r="E1" s="12" t="str">
        <x:v>체중</x:v>
      </x:c>
      <x:c r="F1" s="12" t="str">
        <x:v>윙스팬</x:v>
      </x:c>
      <x:c r="G1" s="12" t="str">
        <x:v>GP</x:v>
      </x:c>
      <x:c r="H1" s="12" t="str">
        <x:v>MIN</x:v>
      </x:c>
      <x:c r="I1" s="12" t="str">
        <x:v>근거리슛</x:v>
      </x:c>
      <x:c r="J1" s="12" t="str">
        <x:v>드라이빙레이업</x:v>
      </x:c>
      <x:c r="K1" s="12" t="str">
        <x:v>드라이빙덩크</x:v>
      </x:c>
      <x:c r="L1" s="12" t="str">
        <x:v>스탠딩덩크</x:v>
      </x:c>
      <x:c r="M1" s="12" t="str">
        <x:v>포스트컨트롤</x:v>
      </x:c>
      <x:c r="N1" s="12" t="str">
        <x:v>중거리슛</x:v>
      </x:c>
      <x:c r="O1" s="12" t="str">
        <x:v>3점슛</x:v>
      </x:c>
      <x:c r="P1" s="12" t="str">
        <x:v>자유투</x:v>
      </x:c>
      <x:c r="Q1" s="12" t="str">
        <x:v>패스</x:v>
      </x:c>
      <x:c r="R1" s="12" t="str">
        <x:v>볼핸들링</x:v>
      </x:c>
      <x:c r="S1" s="12" t="str">
        <x:v>스틸</x:v>
      </x:c>
      <x:c r="T1" s="12" t="str">
        <x:v>블록</x:v>
      </x:c>
      <x:c r="U1" s="12" t="str">
        <x:v>공격리바운드</x:v>
      </x:c>
      <x:c r="V1" s="12" t="str">
        <x:v>수비리바운드</x:v>
      </x:c>
      <x:c r="W1" s="12" t="str">
        <x:v>인사이드수비</x:v>
      </x:c>
      <x:c r="X1" s="12" t="str">
        <x:v>외곽수비</x:v>
      </x:c>
      <x:c r="Y1" s="12" t="str">
        <x:v>OVR</x:v>
      </x:c>
      <x:c r="Z1" s="12" t="str">
        <x:v>볼과함께뛰는속도</x:v>
      </x:c>
      <x:c r="AA1" s="12" t="str">
        <x:v>스피드</x:v>
      </x:c>
      <x:c r="AB1" s="12" t="str">
        <x:v>민첩성</x:v>
      </x:c>
      <x:c r="AC1" s="12" t="str">
        <x:v>힘</x:v>
      </x:c>
      <x:c r="AD1" s="12" t="str">
        <x:v>점프력</x:v>
      </x:c>
      <x:c r="AE1" s="12" t="str">
        <x:v>RAW_근거리슛</x:v>
      </x:c>
      <x:c r="AF1" s="12" t="str">
        <x:v>RAW_드라이빙레이업</x:v>
      </x:c>
      <x:c r="AG1" s="12" t="str">
        <x:v>RAW_드라이빙덩크</x:v>
      </x:c>
      <x:c r="AH1" s="12" t="str">
        <x:v>RAW_스탠딩덩크</x:v>
      </x:c>
      <x:c r="AI1" s="12" t="str">
        <x:v>RAW_포스트컨트롤</x:v>
      </x:c>
      <x:c r="AJ1" s="12" t="str">
        <x:v>RAW_중거리슛</x:v>
      </x:c>
      <x:c r="AK1" s="12" t="str">
        <x:v>RAW_3점슛</x:v>
      </x:c>
      <x:c r="AL1" s="12" t="str">
        <x:v>RAW_자유투</x:v>
      </x:c>
      <x:c r="AM1" s="12" t="str">
        <x:v>RAW_패스</x:v>
      </x:c>
      <x:c r="AN1" s="12" t="str">
        <x:v>RAW_볼핸들링</x:v>
      </x:c>
      <x:c r="AO1" s="12" t="str">
        <x:v>RAW_스틸</x:v>
      </x:c>
      <x:c r="AP1" s="12" t="str">
        <x:v>RAW_블록</x:v>
      </x:c>
      <x:c r="AQ1" s="12" t="str">
        <x:v>RAW_공격리바운드</x:v>
      </x:c>
      <x:c r="AR1" s="12" t="str">
        <x:v>RAW_수비리바운드</x:v>
      </x:c>
      <x:c r="AS1" s="12" t="str">
        <x:v>RAW_인사이드수비</x:v>
      </x:c>
      <x:c r="AT1" s="13" t="str">
        <x:v>RAW_외곽수비</x:v>
      </x:c>
    </x:row>
    <x:row r="2">
      <x:c r="A2" s="14" t="str">
        <x:f>IF('입력데이터'!$B2="","",'입력데이터'!A2)</x:f>
      </x:c>
      <x:c r="B2" s="15" t="str">
        <x:f>IF('입력데이터'!$B2="","",'입력데이터'!B2)</x:f>
      </x:c>
      <x:c r="C2" s="15" t="str">
        <x:f>IF('입력데이터'!$B2="","",'입력데이터'!K2)</x:f>
      </x:c>
      <x:c r="D2" s="15" t="str">
        <x:f>IF('입력데이터'!$B2="","",'입력데이터'!H2)</x:f>
      </x:c>
      <x:c r="E2" s="15" t="str">
        <x:f>IF('입력데이터'!$B2="","",'입력데이터'!I2)</x:f>
      </x:c>
      <x:c r="F2" s="15" t="str">
        <x:f>IF('입력데이터'!$B2="","",'입력데이터'!J2)</x:f>
      </x:c>
      <x:c r="G2" s="15" t="str">
        <x:f>IF('입력데이터'!$B2="","",'입력데이터'!L2)</x:f>
      </x:c>
      <x:c r="H2" s="15" t="str">
        <x:f>IF('입력데이터'!$B2="","",'입력데이터'!O2)</x:f>
      </x:c>
      <x:c r="I2" s="20" t="str">
        <x:f>IF($B2="", "", ROUND(MAX(30, MIN(99, IFERROR((AE2-MIN($AE$2:$AE$101))/(MAX($AE$2:$AE$101)-MIN($AE$2:$AE$101))*99,30))),0))</x:f>
      </x:c>
      <x:c r="J2" s="20" t="str">
        <x:f>IF($B2="", "", ROUND(MAX(30, MIN(99, IFERROR((AF2-MIN($AF$2:$AF$101))/(MAX($AF$2:$AF$101)-MIN($AF$2:$AF$101))*99,30))),0))</x:f>
      </x:c>
      <x:c r="K2" s="20" t="str">
        <x:f>IF($B2="", "", ROUND(MAX(30, MIN(99, IFERROR((AG2-MIN($AG$2:$AG$101))/(MAX($AG$2:$AG$101)-MIN($AG$2:$AG$101))*99,30))),0))</x:f>
      </x:c>
      <x:c r="L2" s="20" t="str">
        <x:f>IF($B2="", "", ROUND(MAX(30, MIN(99, IFERROR((AH2-MIN($AH$2:$AH$101))/(MAX($AH$2:$AH$101)-MIN($AH$2:$AH$101))*99,30))),0))</x:f>
      </x:c>
      <x:c r="M2" s="20" t="str">
        <x:f>IF($B2="", "", ROUND(MAX(30, MIN(99, IFERROR((AI2-MIN($AI$2:$AI$101))/(MAX($AI$2:$AI$101)-MIN($AI$2:$AI$101))*99,30))),0))</x:f>
      </x:c>
      <x:c r="N2" s="20" t="str">
        <x:f>IF($B2="", "", ROUND(MAX(30, MIN(99, IFERROR((AJ2-MIN($AJ$2:$AJ$101))/(MAX($AJ$2:$AJ$101)-MIN($AJ$2:$AJ$101))*99,30))),0))</x:f>
      </x:c>
      <x:c r="O2" s="20" t="str">
        <x:f>IF($B2="", "", ROUND(MAX(30, MIN(99, IFERROR((AK2-MIN($AK$2:$AK$101))/(MAX($AK$2:$AK$101)-MIN($AK$2:$AK$101))*99,30))),0))</x:f>
      </x:c>
      <x:c r="P2" s="20" t="str">
        <x:f>IF($B2="", "", ROUND(MAX(30, MIN(99, IFERROR((AL2-MIN($AL$2:$AL$101))/(MAX($AL$2:$AL$101)-MIN($AL$2:$AL$101))*99,30))),0))</x:f>
      </x:c>
      <x:c r="Q2" s="20" t="str">
        <x:f>IF($B2="", "", ROUND(MAX(30, MIN(99, IFERROR((AM2-MIN($AM$2:$AM$101))/(MAX($AM$2:$AM$101)-MIN($AM$2:$AM$101))*99,30))),0))</x:f>
      </x:c>
      <x:c r="R2" s="20" t="str">
        <x:f>IF($B2="", "", ROUND(MAX(30, MIN(99, IFERROR((AN2-MIN($AN$2:$AN$101))/(MAX($AN$2:$AN$101)-MIN($AN$2:$AN$101))*99,30))),0))</x:f>
      </x:c>
      <x:c r="S2" s="20" t="str">
        <x:f>IF($B2="", "", ROUND(MAX(30, MIN(99, IFERROR((AO2-MIN($AO$2:$AO$101))/(MAX($AO$2:$AO$101)-MIN($AO$2:$AO$101))*99,30))),0))</x:f>
      </x:c>
      <x:c r="T2" s="20" t="str">
        <x:f>IF($B2="", "", ROUND(MAX(30, MIN(99, IFERROR((AP2-MIN($AP$2:$AP$101))/(MAX($AP$2:$AP$101)-MIN($AP$2:$AP$101))*99,30))),0))</x:f>
      </x:c>
      <x:c r="U2" s="20" t="str">
        <x:f>IF($B2="", "", ROUND(MAX(30, MIN(99, IFERROR((AQ2-MIN($AQ$2:$AQ$101))/(MAX($AQ$2:$AQ$101)-MIN($AQ$2:$AQ$101))*99,30))),0))</x:f>
      </x:c>
      <x:c r="V2" s="20" t="str">
        <x:f>IF($B2="", "", ROUND(MAX(30, MIN(99, IFERROR((AR2-MIN($AR$2:$AR$101))/(MAX($AR$2:$AR$101)-MIN($AR$2:$AR$101))*99,30))),0))</x:f>
      </x:c>
      <x:c r="W2" s="20" t="str">
        <x:f>IF($B2="", "", ROUND(MAX(30, MIN(99, IFERROR((AS2-MIN($AS$2:$AS$101))/(MAX($AS$2:$AS$101)-MIN($AS$2:$AS$101))*99,30))),0))</x:f>
      </x:c>
      <x:c r="X2" s="20" t="str">
        <x:f>IF($B2="", "", ROUND(MAX(30, MIN(99, IFERROR((AT2-MIN($AT$2:$AT$101))/(MAX($AT$2:$AT$101)-MIN($AT$2:$AT$101))*99,30))),0))</x:f>
      </x:c>
      <x:c r="Y2" s="20" t="str">
        <x:f>IF($B2="","",ROUND(AVERAGE(I2:X2),0))</x:f>
      </x:c>
      <x:c r="Z2" s="20" t="str">
        <x:f>IF($B2="","",ROUND(MAX(30,MIN(99,IFS(ISNUMBER(SEARCH("PG",UPPER(SUBSTITUTE($C2,"/","-")))),84,ISNUMBER(SEARCH("SG",UPPER(SUBSTITUTE($C2,"/","-")))),76,ISNUMBER(SEARCH("SF",UPPER(SUBSTITUTE($C2,"/","-")))),68,ISNUMBER(SEARCH("PF",UPPER(SUBSTITUTE($C2,"/","-")))),55,ISNUMBER(SEARCH("C",UPPER(SUBSTITUTE($C2,"/","-")))),42,TRUE,65)+((195-IFERROR($D2,195))*0.15)+((95-IFERROR($E2,95))*0.08))),0))</x:f>
      </x:c>
      <x:c r="AA2" s="20" t="str">
        <x:f>IF($B2="","",ROUND(MAX(30,MIN(99,IFS(ISNUMBER(SEARCH("PG",UPPER(SUBSTITUTE($C2,"/","-")))),84,ISNUMBER(SEARCH("SG",UPPER(SUBSTITUTE($C2,"/","-")))),76,ISNUMBER(SEARCH("SF",UPPER(SUBSTITUTE($C2,"/","-")))),68,ISNUMBER(SEARCH("PF",UPPER(SUBSTITUTE($C2,"/","-")))),55,ISNUMBER(SEARCH("C",UPPER(SUBSTITUTE($C2,"/","-")))),42,TRUE,65)+((195-IFERROR($D2,195))*0.18)+((95-IFERROR($E2,95))*0.10))),0))</x:f>
      </x:c>
      <x:c r="AB2" s="20" t="str">
        <x:f>IF($B2="","",ROUND(MAX(30,MIN(99,IFS(ISNUMBER(SEARCH("PG",UPPER(SUBSTITUTE($C2,"/","-")))),84,ISNUMBER(SEARCH("SG",UPPER(SUBSTITUTE($C2,"/","-")))),76,ISNUMBER(SEARCH("SF",UPPER(SUBSTITUTE($C2,"/","-")))),68,ISNUMBER(SEARCH("PF",UPPER(SUBSTITUTE($C2,"/","-")))),55,ISNUMBER(SEARCH("C",UPPER(SUBSTITUTE($C2,"/","-")))),42,TRUE,65)+2+((195-IFERROR($D2,195))*0.14)+((95-IFERROR($E2,95))*0.09))),0))</x:f>
      </x:c>
      <x:c r="AC2" s="20" t="str">
        <x:f>IF($B2="","",ROUND(MAX(30,MIN(99,IFS(ISNUMBER(SEARCH("C",UPPER(SUBSTITUTE($C2,"/","-")))),92,ISNUMBER(SEARCH("PF",UPPER(SUBSTITUTE($C2,"/","-")))),82,ISNUMBER(SEARCH("SF",UPPER(SUBSTITUTE($C2,"/","-")))),64,ISNUMBER(SEARCH("SG",UPPER(SUBSTITUTE($C2,"/","-")))),48,ISNUMBER(SEARCH("PG",UPPER(SUBSTITUTE($C2,"/","-")))),36,TRUE,60)+((IFERROR($E2,95)-95)*0.45)+((IFERROR($D2,195)-195)*0.10)+((IFERROR($F2,200)-200)*0.08))),0))</x:f>
      </x:c>
      <x:c r="AD2" s="20" t="str">
        <x:f>IF($B2="","",ROUND(MAX(30,MIN(99,65+((IFERROR($F2,200)-200)*0.22)+((IFERROR($D2,195)-195)*0.08)-((IFERROR($E2,95)-95)*0.07))),0))</x:f>
      </x:c>
      <x:c r="AE2" s="15" t="n">
        <x:f>IFERROR(='입력데이터'!S2,0)*0.4+IFERROR(='입력데이터'!AP2,0)*0.4+IFERROR(='입력데이터'!AO2,0)*0.5</x:f>
        <x:v>0</x:v>
      </x:c>
      <x:c r="AF2" s="15" t="n">
        <x:f>IFERROR(='입력데이터'!S2,0)*0.5+IFERROR(='입력데이터'!P2,0)*0.8+IFERROR(='입력데이터'!AG2,0)</x:f>
        <x:v>0</x:v>
      </x:c>
      <x:c r="AG2" s="15" t="n">
        <x:f>IFERROR(='입력데이터'!AJ2,0)*8+IFERROR(IFERROR(='입력데이터'!AJ2,0)/IFERROR(='입력데이터'!AK2,0),0)*30</x:f>
        <x:v>0</x:v>
      </x:c>
      <x:c r="AH2" s="15" t="n">
        <x:f>IFERROR(='입력데이터'!AJ2,0)*6+IFERROR(='입력데이터'!AH2,0)*4</x:f>
        <x:v>0</x:v>
      </x:c>
      <x:c r="AI2" s="15" t="n">
        <x:f>IFERROR(='입력데이터'!AP2,0)*0.4+IFERROR(='입력데이터'!AE2,0)*1.5+IFERROR(='입력데이터'!Q2,0)*1.5</x:f>
        <x:v>0</x:v>
      </x:c>
      <x:c r="AJ2" s="15" t="n">
        <x:f>MAX(0,IFERROR(='입력데이터'!P2,0)-IFERROR(='입력데이터'!Q2,0)*2-IFERROR(='입력데이터'!T2,0)*3-IFERROR(='입력데이터'!Z2,0))*1.5+IFERROR(='입력데이터'!Y2,0)*0.3</x:f>
        <x:v>0</x:v>
      </x:c>
      <x:c r="AK2" s="15" t="n">
        <x:f>IFERROR(='입력데이터'!V2,0)*0.6+IFERROR(='입력데이터'!U2,0)*2+IFERROR(='입력데이터'!T2,0)*3</x:f>
        <x:v>0</x:v>
      </x:c>
      <x:c r="AL2" s="15" t="n">
        <x:f>IFERROR(='입력데이터'!AB2,0)*0.7+IFERROR(='입력데이터'!AA2,0)*1.5</x:f>
        <x:v>0</x:v>
      </x:c>
      <x:c r="AM2" s="15" t="n">
        <x:f>IFERROR(='입력데이터'!AF2,0)*5+IFERROR(IFERROR(='입력데이터'!AF2,0)/IFERROR(='입력데이터'!AL2,0),0)*3+IFERROR(='입력데이터'!AT2,0)</x:f>
        <x:v>0</x:v>
      </x:c>
      <x:c r="AN2" s="15" t="n">
        <x:f>IFERROR(='입력데이터'!AF2,0)*3+IFERROR(='입력데이터'!AG2,0)*3+IFERROR(IFERROR(='입력데이터'!AF2,0)/IFERROR(='입력데이터'!AL2,0),0)*4</x:f>
        <x:v>0</x:v>
      </x:c>
      <x:c r="AO2" s="15" t="n">
        <x:f>IFERROR(='입력데이터'!AG2,0)*12+IFERROR(='입력데이터'!AU2,0)*6</x:f>
        <x:v>0</x:v>
      </x:c>
      <x:c r="AP2" s="15" t="n">
        <x:f>IFERROR(='입력데이터'!AH2,0)*14+IFERROR(='입력데이터'!AD2,0)</x:f>
        <x:v>0</x:v>
      </x:c>
      <x:c r="AQ2" s="15" t="n">
        <x:f>IFERROR(='입력데이터'!AC2,0)*10</x:f>
        <x:v>0</x:v>
      </x:c>
      <x:c r="AR2" s="15" t="n">
        <x:f>IFERROR(='입력데이터'!AD2,0)*7+IFERROR(='입력데이터'!AH2,0)*2</x:f>
        <x:v>0</x:v>
      </x:c>
      <x:c r="AS2" s="15" t="n">
        <x:f>IFERROR(='입력데이터'!AH2,0)*8+IFERROR(='입력데이터'!AD2,0)*2+IFERROR(='입력데이터'!AI2,0)*4</x:f>
        <x:v>0</x:v>
      </x:c>
      <x:c r="AT2" s="16" t="n">
        <x:f>IFERROR(='입력데이터'!AG2,0)*8+IFERROR(='입력데이터'!AI2,0)*5+IFERROR(='입력데이터'!AU2,0)*4</x:f>
        <x:v>0</x:v>
      </x:c>
    </x:row>
    <x:row r="3">
      <x:c r="A3" s="14" t="str">
        <x:f>IF('입력데이터'!$B3="","",'입력데이터'!A3)</x:f>
      </x:c>
      <x:c r="B3" s="15" t="str">
        <x:f>IF('입력데이터'!$B3="","",'입력데이터'!B3)</x:f>
      </x:c>
      <x:c r="C3" s="15" t="str">
        <x:f>IF('입력데이터'!$B3="","",'입력데이터'!K3)</x:f>
      </x:c>
      <x:c r="D3" s="15" t="str">
        <x:f>IF('입력데이터'!$B3="","",'입력데이터'!H3)</x:f>
      </x:c>
      <x:c r="E3" s="15" t="str">
        <x:f>IF('입력데이터'!$B3="","",'입력데이터'!I3)</x:f>
      </x:c>
      <x:c r="F3" s="15" t="str">
        <x:f>IF('입력데이터'!$B3="","",'입력데이터'!J3)</x:f>
      </x:c>
      <x:c r="G3" s="15" t="str">
        <x:f>IF('입력데이터'!$B3="","",'입력데이터'!L3)</x:f>
      </x:c>
      <x:c r="H3" s="15" t="str">
        <x:f>IF('입력데이터'!$B3="","",'입력데이터'!O3)</x:f>
      </x:c>
      <x:c r="I3" s="20" t="str">
        <x:f>IF($B3="", "", ROUND(MAX(30, MIN(99, IFERROR((AE3-MIN($AE$2:$AE$101))/(MAX($AE$2:$AE$101)-MIN($AE$2:$AE$101))*99,30))),0))</x:f>
      </x:c>
      <x:c r="J3" s="20" t="str">
        <x:f>IF($B3="", "", ROUND(MAX(30, MIN(99, IFERROR((AF3-MIN($AF$2:$AF$101))/(MAX($AF$2:$AF$101)-MIN($AF$2:$AF$101))*99,30))),0))</x:f>
      </x:c>
      <x:c r="K3" s="20" t="str">
        <x:f>IF($B3="", "", ROUND(MAX(30, MIN(99, IFERROR((AG3-MIN($AG$2:$AG$101))/(MAX($AG$2:$AG$101)-MIN($AG$2:$AG$101))*99,30))),0))</x:f>
      </x:c>
      <x:c r="L3" s="20" t="str">
        <x:f>IF($B3="", "", ROUND(MAX(30, MIN(99, IFERROR((AH3-MIN($AH$2:$AH$101))/(MAX($AH$2:$AH$101)-MIN($AH$2:$AH$101))*99,30))),0))</x:f>
      </x:c>
      <x:c r="M3" s="20" t="str">
        <x:f>IF($B3="", "", ROUND(MAX(30, MIN(99, IFERROR((AI3-MIN($AI$2:$AI$101))/(MAX($AI$2:$AI$101)-MIN($AI$2:$AI$101))*99,30))),0))</x:f>
      </x:c>
      <x:c r="N3" s="20" t="str">
        <x:f>IF($B3="", "", ROUND(MAX(30, MIN(99, IFERROR((AJ3-MIN($AJ$2:$AJ$101))/(MAX($AJ$2:$AJ$101)-MIN($AJ$2:$AJ$101))*99,30))),0))</x:f>
      </x:c>
      <x:c r="O3" s="20" t="str">
        <x:f>IF($B3="", "", ROUND(MAX(30, MIN(99, IFERROR((AK3-MIN($AK$2:$AK$101))/(MAX($AK$2:$AK$101)-MIN($AK$2:$AK$101))*99,30))),0))</x:f>
      </x:c>
      <x:c r="P3" s="20" t="str">
        <x:f>IF($B3="", "", ROUND(MAX(30, MIN(99, IFERROR((AL3-MIN($AL$2:$AL$101))/(MAX($AL$2:$AL$101)-MIN($AL$2:$AL$101))*99,30))),0))</x:f>
      </x:c>
      <x:c r="Q3" s="20" t="str">
        <x:f>IF($B3="", "", ROUND(MAX(30, MIN(99, IFERROR((AM3-MIN($AM$2:$AM$101))/(MAX($AM$2:$AM$101)-MIN($AM$2:$AM$101))*99,30))),0))</x:f>
      </x:c>
      <x:c r="R3" s="20" t="str">
        <x:f>IF($B3="", "", ROUND(MAX(30, MIN(99, IFERROR((AN3-MIN($AN$2:$AN$101))/(MAX($AN$2:$AN$101)-MIN($AN$2:$AN$101))*99,30))),0))</x:f>
      </x:c>
      <x:c r="S3" s="20" t="str">
        <x:f>IF($B3="", "", ROUND(MAX(30, MIN(99, IFERROR((AO3-MIN($AO$2:$AO$101))/(MAX($AO$2:$AO$101)-MIN($AO$2:$AO$101))*99,30))),0))</x:f>
      </x:c>
      <x:c r="T3" s="20" t="str">
        <x:f>IF($B3="", "", ROUND(MAX(30, MIN(99, IFERROR((AP3-MIN($AP$2:$AP$101))/(MAX($AP$2:$AP$101)-MIN($AP$2:$AP$101))*99,30))),0))</x:f>
      </x:c>
      <x:c r="U3" s="20" t="str">
        <x:f>IF($B3="", "", ROUND(MAX(30, MIN(99, IFERROR((AQ3-MIN($AQ$2:$AQ$101))/(MAX($AQ$2:$AQ$101)-MIN($AQ$2:$AQ$101))*99,30))),0))</x:f>
      </x:c>
      <x:c r="V3" s="20" t="str">
        <x:f>IF($B3="", "", ROUND(MAX(30, MIN(99, IFERROR((AR3-MIN($AR$2:$AR$101))/(MAX($AR$2:$AR$101)-MIN($AR$2:$AR$101))*99,30))),0))</x:f>
      </x:c>
      <x:c r="W3" s="20" t="str">
        <x:f>IF($B3="", "", ROUND(MAX(30, MIN(99, IFERROR((AS3-MIN($AS$2:$AS$101))/(MAX($AS$2:$AS$101)-MIN($AS$2:$AS$101))*99,30))),0))</x:f>
      </x:c>
      <x:c r="X3" s="20" t="str">
        <x:f>IF($B3="", "", ROUND(MAX(30, MIN(99, IFERROR((AT3-MIN($AT$2:$AT$101))/(MAX($AT$2:$AT$101)-MIN($AT$2:$AT$101))*99,30))),0))</x:f>
      </x:c>
      <x:c r="Y3" s="20" t="str">
        <x:f>IF($B3="","",ROUND(AVERAGE(I3:X3),0))</x:f>
      </x:c>
      <x:c r="Z3" s="20" t="str">
        <x:f>IF($B3="","",ROUND(MAX(30,MIN(99,IFS(ISNUMBER(SEARCH("PG",UPPER(SUBSTITUTE($C3,"/","-")))),84,ISNUMBER(SEARCH("SG",UPPER(SUBSTITUTE($C3,"/","-")))),76,ISNUMBER(SEARCH("SF",UPPER(SUBSTITUTE($C3,"/","-")))),68,ISNUMBER(SEARCH("PF",UPPER(SUBSTITUTE($C3,"/","-")))),55,ISNUMBER(SEARCH("C",UPPER(SUBSTITUTE($C3,"/","-")))),42,TRUE,65)+((195-IFERROR($D3,195))*0.15)+((95-IFERROR($E3,95))*0.08))),0))</x:f>
      </x:c>
      <x:c r="AA3" s="20" t="str">
        <x:f>IF($B3="","",ROUND(MAX(30,MIN(99,IFS(ISNUMBER(SEARCH("PG",UPPER(SUBSTITUTE($C3,"/","-")))),84,ISNUMBER(SEARCH("SG",UPPER(SUBSTITUTE($C3,"/","-")))),76,ISNUMBER(SEARCH("SF",UPPER(SUBSTITUTE($C3,"/","-")))),68,ISNUMBER(SEARCH("PF",UPPER(SUBSTITUTE($C3,"/","-")))),55,ISNUMBER(SEARCH("C",UPPER(SUBSTITUTE($C3,"/","-")))),42,TRUE,65)+((195-IFERROR($D3,195))*0.18)+((95-IFERROR($E3,95))*0.10))),0))</x:f>
      </x:c>
      <x:c r="AB3" s="20" t="str">
        <x:f>IF($B3="","",ROUND(MAX(30,MIN(99,IFS(ISNUMBER(SEARCH("PG",UPPER(SUBSTITUTE($C3,"/","-")))),84,ISNUMBER(SEARCH("SG",UPPER(SUBSTITUTE($C3,"/","-")))),76,ISNUMBER(SEARCH("SF",UPPER(SUBSTITUTE($C3,"/","-")))),68,ISNUMBER(SEARCH("PF",UPPER(SUBSTITUTE($C3,"/","-")))),55,ISNUMBER(SEARCH("C",UPPER(SUBSTITUTE($C3,"/","-")))),42,TRUE,65)+2+((195-IFERROR($D3,195))*0.14)+((95-IFERROR($E3,95))*0.09))),0))</x:f>
      </x:c>
      <x:c r="AC3" s="20" t="str">
        <x:f>IF($B3="","",ROUND(MAX(30,MIN(99,IFS(ISNUMBER(SEARCH("C",UPPER(SUBSTITUTE($C3,"/","-")))),92,ISNUMBER(SEARCH("PF",UPPER(SUBSTITUTE($C3,"/","-")))),82,ISNUMBER(SEARCH("SF",UPPER(SUBSTITUTE($C3,"/","-")))),64,ISNUMBER(SEARCH("SG",UPPER(SUBSTITUTE($C3,"/","-")))),48,ISNUMBER(SEARCH("PG",UPPER(SUBSTITUTE($C3,"/","-")))),36,TRUE,60)+((IFERROR($E3,95)-95)*0.45)+((IFERROR($D3,195)-195)*0.10)+((IFERROR($F3,200)-200)*0.08))),0))</x:f>
      </x:c>
      <x:c r="AD3" s="20" t="str">
        <x:f>IF($B3="","",ROUND(MAX(30,MIN(99,65+((IFERROR($F3,200)-200)*0.22)+((IFERROR($D3,195)-195)*0.08)-((IFERROR($E3,95)-95)*0.07))),0))</x:f>
      </x:c>
      <x:c r="AE3" s="15" t="n">
        <x:f>IFERROR(='입력데이터'!S3,0)*0.4+IFERROR(='입력데이터'!AP3,0)*0.4+IFERROR(='입력데이터'!AO3,0)*0.5</x:f>
        <x:v>0</x:v>
      </x:c>
      <x:c r="AF3" s="15" t="n">
        <x:f>IFERROR(='입력데이터'!S3,0)*0.5+IFERROR(='입력데이터'!P3,0)*0.8+IFERROR(='입력데이터'!AG3,0)</x:f>
        <x:v>0</x:v>
      </x:c>
      <x:c r="AG3" s="15" t="n">
        <x:f>IFERROR(='입력데이터'!AJ3,0)*8+IFERROR(IFERROR(='입력데이터'!AJ3,0)/IFERROR(='입력데이터'!AK3,0),0)*30</x:f>
        <x:v>0</x:v>
      </x:c>
      <x:c r="AH3" s="15" t="n">
        <x:f>IFERROR(='입력데이터'!AJ3,0)*6+IFERROR(='입력데이터'!AH3,0)*4</x:f>
        <x:v>0</x:v>
      </x:c>
      <x:c r="AI3" s="15" t="n">
        <x:f>IFERROR(='입력데이터'!AP3,0)*0.4+IFERROR(='입력데이터'!AE3,0)*1.5+IFERROR(='입력데이터'!Q3,0)*1.5</x:f>
        <x:v>0</x:v>
      </x:c>
      <x:c r="AJ3" s="15" t="n">
        <x:f>MAX(0,IFERROR(='입력데이터'!P3,0)-IFERROR(='입력데이터'!Q3,0)*2-IFERROR(='입력데이터'!T3,0)*3-IFERROR(='입력데이터'!Z3,0))*1.5+IFERROR(='입력데이터'!Y3,0)*0.3</x:f>
        <x:v>0</x:v>
      </x:c>
      <x:c r="AK3" s="15" t="n">
        <x:f>IFERROR(='입력데이터'!V3,0)*0.6+IFERROR(='입력데이터'!U3,0)*2+IFERROR(='입력데이터'!T3,0)*3</x:f>
        <x:v>0</x:v>
      </x:c>
      <x:c r="AL3" s="15" t="n">
        <x:f>IFERROR(='입력데이터'!AB3,0)*0.7+IFERROR(='입력데이터'!AA3,0)*1.5</x:f>
        <x:v>0</x:v>
      </x:c>
      <x:c r="AM3" s="15" t="n">
        <x:f>IFERROR(='입력데이터'!AF3,0)*5+IFERROR(IFERROR(='입력데이터'!AF3,0)/IFERROR(='입력데이터'!AL3,0),0)*3+IFERROR(='입력데이터'!AT3,0)</x:f>
        <x:v>0</x:v>
      </x:c>
      <x:c r="AN3" s="15" t="n">
        <x:f>IFERROR(='입력데이터'!AF3,0)*3+IFERROR(='입력데이터'!AG3,0)*3+IFERROR(IFERROR(='입력데이터'!AF3,0)/IFERROR(='입력데이터'!AL3,0),0)*4</x:f>
        <x:v>0</x:v>
      </x:c>
      <x:c r="AO3" s="15" t="n">
        <x:f>IFERROR(='입력데이터'!AG3,0)*12+IFERROR(='입력데이터'!AU3,0)*6</x:f>
        <x:v>0</x:v>
      </x:c>
      <x:c r="AP3" s="15" t="n">
        <x:f>IFERROR(='입력데이터'!AH3,0)*14+IFERROR(='입력데이터'!AD3,0)</x:f>
        <x:v>0</x:v>
      </x:c>
      <x:c r="AQ3" s="15" t="n">
        <x:f>IFERROR(='입력데이터'!AC3,0)*10</x:f>
        <x:v>0</x:v>
      </x:c>
      <x:c r="AR3" s="15" t="n">
        <x:f>IFERROR(='입력데이터'!AD3,0)*7+IFERROR(='입력데이터'!AH3,0)*2</x:f>
        <x:v>0</x:v>
      </x:c>
      <x:c r="AS3" s="15" t="n">
        <x:f>IFERROR(='입력데이터'!AH3,0)*8+IFERROR(='입력데이터'!AD3,0)*2+IFERROR(='입력데이터'!AI3,0)*4</x:f>
        <x:v>0</x:v>
      </x:c>
      <x:c r="AT3" s="16" t="n">
        <x:f>IFERROR(='입력데이터'!AG3,0)*8+IFERROR(='입력데이터'!AI3,0)*5+IFERROR(='입력데이터'!AU3,0)*4</x:f>
        <x:v>0</x:v>
      </x:c>
    </x:row>
    <x:row r="4">
      <x:c r="A4" s="14" t="str">
        <x:f>IF('입력데이터'!$B4="","",'입력데이터'!A4)</x:f>
      </x:c>
      <x:c r="B4" s="15" t="str">
        <x:f>IF('입력데이터'!$B4="","",'입력데이터'!B4)</x:f>
      </x:c>
      <x:c r="C4" s="15" t="str">
        <x:f>IF('입력데이터'!$B4="","",'입력데이터'!K4)</x:f>
      </x:c>
      <x:c r="D4" s="15" t="str">
        <x:f>IF('입력데이터'!$B4="","",'입력데이터'!H4)</x:f>
      </x:c>
      <x:c r="E4" s="15" t="str">
        <x:f>IF('입력데이터'!$B4="","",'입력데이터'!I4)</x:f>
      </x:c>
      <x:c r="F4" s="15" t="str">
        <x:f>IF('입력데이터'!$B4="","",'입력데이터'!J4)</x:f>
      </x:c>
      <x:c r="G4" s="15" t="str">
        <x:f>IF('입력데이터'!$B4="","",'입력데이터'!L4)</x:f>
      </x:c>
      <x:c r="H4" s="15" t="str">
        <x:f>IF('입력데이터'!$B4="","",'입력데이터'!O4)</x:f>
      </x:c>
      <x:c r="I4" s="20" t="str">
        <x:f>IF($B4="", "", ROUND(MAX(30, MIN(99, IFERROR((AE4-MIN($AE$2:$AE$101))/(MAX($AE$2:$AE$101)-MIN($AE$2:$AE$101))*99,30))),0))</x:f>
      </x:c>
      <x:c r="J4" s="20" t="str">
        <x:f>IF($B4="", "", ROUND(MAX(30, MIN(99, IFERROR((AF4-MIN($AF$2:$AF$101))/(MAX($AF$2:$AF$101)-MIN($AF$2:$AF$101))*99,30))),0))</x:f>
      </x:c>
      <x:c r="K4" s="20" t="str">
        <x:f>IF($B4="", "", ROUND(MAX(30, MIN(99, IFERROR((AG4-MIN($AG$2:$AG$101))/(MAX($AG$2:$AG$101)-MIN($AG$2:$AG$101))*99,30))),0))</x:f>
      </x:c>
      <x:c r="L4" s="20" t="str">
        <x:f>IF($B4="", "", ROUND(MAX(30, MIN(99, IFERROR((AH4-MIN($AH$2:$AH$101))/(MAX($AH$2:$AH$101)-MIN($AH$2:$AH$101))*99,30))),0))</x:f>
      </x:c>
      <x:c r="M4" s="20" t="str">
        <x:f>IF($B4="", "", ROUND(MAX(30, MIN(99, IFERROR((AI4-MIN($AI$2:$AI$101))/(MAX($AI$2:$AI$101)-MIN($AI$2:$AI$101))*99,30))),0))</x:f>
      </x:c>
      <x:c r="N4" s="20" t="str">
        <x:f>IF($B4="", "", ROUND(MAX(30, MIN(99, IFERROR((AJ4-MIN($AJ$2:$AJ$101))/(MAX($AJ$2:$AJ$101)-MIN($AJ$2:$AJ$101))*99,30))),0))</x:f>
      </x:c>
      <x:c r="O4" s="20" t="str">
        <x:f>IF($B4="", "", ROUND(MAX(30, MIN(99, IFERROR((AK4-MIN($AK$2:$AK$101))/(MAX($AK$2:$AK$101)-MIN($AK$2:$AK$101))*99,30))),0))</x:f>
      </x:c>
      <x:c r="P4" s="20" t="str">
        <x:f>IF($B4="", "", ROUND(MAX(30, MIN(99, IFERROR((AL4-MIN($AL$2:$AL$101))/(MAX($AL$2:$AL$101)-MIN($AL$2:$AL$101))*99,30))),0))</x:f>
      </x:c>
      <x:c r="Q4" s="20" t="str">
        <x:f>IF($B4="", "", ROUND(MAX(30, MIN(99, IFERROR((AM4-MIN($AM$2:$AM$101))/(MAX($AM$2:$AM$101)-MIN($AM$2:$AM$101))*99,30))),0))</x:f>
      </x:c>
      <x:c r="R4" s="20" t="str">
        <x:f>IF($B4="", "", ROUND(MAX(30, MIN(99, IFERROR((AN4-MIN($AN$2:$AN$101))/(MAX($AN$2:$AN$101)-MIN($AN$2:$AN$101))*99,30))),0))</x:f>
      </x:c>
      <x:c r="S4" s="20" t="str">
        <x:f>IF($B4="", "", ROUND(MAX(30, MIN(99, IFERROR((AO4-MIN($AO$2:$AO$101))/(MAX($AO$2:$AO$101)-MIN($AO$2:$AO$101))*99,30))),0))</x:f>
      </x:c>
      <x:c r="T4" s="20" t="str">
        <x:f>IF($B4="", "", ROUND(MAX(30, MIN(99, IFERROR((AP4-MIN($AP$2:$AP$101))/(MAX($AP$2:$AP$101)-MIN($AP$2:$AP$101))*99,30))),0))</x:f>
      </x:c>
      <x:c r="U4" s="20" t="str">
        <x:f>IF($B4="", "", ROUND(MAX(30, MIN(99, IFERROR((AQ4-MIN($AQ$2:$AQ$101))/(MAX($AQ$2:$AQ$101)-MIN($AQ$2:$AQ$101))*99,30))),0))</x:f>
      </x:c>
      <x:c r="V4" s="20" t="str">
        <x:f>IF($B4="", "", ROUND(MAX(30, MIN(99, IFERROR((AR4-MIN($AR$2:$AR$101))/(MAX($AR$2:$AR$101)-MIN($AR$2:$AR$101))*99,30))),0))</x:f>
      </x:c>
      <x:c r="W4" s="20" t="str">
        <x:f>IF($B4="", "", ROUND(MAX(30, MIN(99, IFERROR((AS4-MIN($AS$2:$AS$101))/(MAX($AS$2:$AS$101)-MIN($AS$2:$AS$101))*99,30))),0))</x:f>
      </x:c>
      <x:c r="X4" s="20" t="str">
        <x:f>IF($B4="", "", ROUND(MAX(30, MIN(99, IFERROR((AT4-MIN($AT$2:$AT$101))/(MAX($AT$2:$AT$101)-MIN($AT$2:$AT$101))*99,30))),0))</x:f>
      </x:c>
      <x:c r="Y4" s="20" t="str">
        <x:f>IF($B4="","",ROUND(AVERAGE(I4:X4),0))</x:f>
      </x:c>
      <x:c r="Z4" s="20" t="str">
        <x:f>IF($B4="","",ROUND(MAX(30,MIN(99,IFS(ISNUMBER(SEARCH("PG",UPPER(SUBSTITUTE($C4,"/","-")))),84,ISNUMBER(SEARCH("SG",UPPER(SUBSTITUTE($C4,"/","-")))),76,ISNUMBER(SEARCH("SF",UPPER(SUBSTITUTE($C4,"/","-")))),68,ISNUMBER(SEARCH("PF",UPPER(SUBSTITUTE($C4,"/","-")))),55,ISNUMBER(SEARCH("C",UPPER(SUBSTITUTE($C4,"/","-")))),42,TRUE,65)+((195-IFERROR($D4,195))*0.15)+((95-IFERROR($E4,95))*0.08))),0))</x:f>
      </x:c>
      <x:c r="AA4" s="20" t="str">
        <x:f>IF($B4="","",ROUND(MAX(30,MIN(99,IFS(ISNUMBER(SEARCH("PG",UPPER(SUBSTITUTE($C4,"/","-")))),84,ISNUMBER(SEARCH("SG",UPPER(SUBSTITUTE($C4,"/","-")))),76,ISNUMBER(SEARCH("SF",UPPER(SUBSTITUTE($C4,"/","-")))),68,ISNUMBER(SEARCH("PF",UPPER(SUBSTITUTE($C4,"/","-")))),55,ISNUMBER(SEARCH("C",UPPER(SUBSTITUTE($C4,"/","-")))),42,TRUE,65)+((195-IFERROR($D4,195))*0.18)+((95-IFERROR($E4,95))*0.10))),0))</x:f>
      </x:c>
      <x:c r="AB4" s="20" t="str">
        <x:f>IF($B4="","",ROUND(MAX(30,MIN(99,IFS(ISNUMBER(SEARCH("PG",UPPER(SUBSTITUTE($C4,"/","-")))),84,ISNUMBER(SEARCH("SG",UPPER(SUBSTITUTE($C4,"/","-")))),76,ISNUMBER(SEARCH("SF",UPPER(SUBSTITUTE($C4,"/","-")))),68,ISNUMBER(SEARCH("PF",UPPER(SUBSTITUTE($C4,"/","-")))),55,ISNUMBER(SEARCH("C",UPPER(SUBSTITUTE($C4,"/","-")))),42,TRUE,65)+2+((195-IFERROR($D4,195))*0.14)+((95-IFERROR($E4,95))*0.09))),0))</x:f>
      </x:c>
      <x:c r="AC4" s="20" t="str">
        <x:f>IF($B4="","",ROUND(MAX(30,MIN(99,IFS(ISNUMBER(SEARCH("C",UPPER(SUBSTITUTE($C4,"/","-")))),92,ISNUMBER(SEARCH("PF",UPPER(SUBSTITUTE($C4,"/","-")))),82,ISNUMBER(SEARCH("SF",UPPER(SUBSTITUTE($C4,"/","-")))),64,ISNUMBER(SEARCH("SG",UPPER(SUBSTITUTE($C4,"/","-")))),48,ISNUMBER(SEARCH("PG",UPPER(SUBSTITUTE($C4,"/","-")))),36,TRUE,60)+((IFERROR($E4,95)-95)*0.45)+((IFERROR($D4,195)-195)*0.10)+((IFERROR($F4,200)-200)*0.08))),0))</x:f>
      </x:c>
      <x:c r="AD4" s="20" t="str">
        <x:f>IF($B4="","",ROUND(MAX(30,MIN(99,65+((IFERROR($F4,200)-200)*0.22)+((IFERROR($D4,195)-195)*0.08)-((IFERROR($E4,95)-95)*0.07))),0))</x:f>
      </x:c>
      <x:c r="AE4" s="15" t="n">
        <x:f>IFERROR(='입력데이터'!S4,0)*0.4+IFERROR(='입력데이터'!AP4,0)*0.4+IFERROR(='입력데이터'!AO4,0)*0.5</x:f>
        <x:v>0</x:v>
      </x:c>
      <x:c r="AF4" s="15" t="n">
        <x:f>IFERROR(='입력데이터'!S4,0)*0.5+IFERROR(='입력데이터'!P4,0)*0.8+IFERROR(='입력데이터'!AG4,0)</x:f>
        <x:v>0</x:v>
      </x:c>
      <x:c r="AG4" s="15" t="n">
        <x:f>IFERROR(='입력데이터'!AJ4,0)*8+IFERROR(IFERROR(='입력데이터'!AJ4,0)/IFERROR(='입력데이터'!AK4,0),0)*30</x:f>
        <x:v>0</x:v>
      </x:c>
      <x:c r="AH4" s="15" t="n">
        <x:f>IFERROR(='입력데이터'!AJ4,0)*6+IFERROR(='입력데이터'!AH4,0)*4</x:f>
        <x:v>0</x:v>
      </x:c>
      <x:c r="AI4" s="15" t="n">
        <x:f>IFERROR(='입력데이터'!AP4,0)*0.4+IFERROR(='입력데이터'!AE4,0)*1.5+IFERROR(='입력데이터'!Q4,0)*1.5</x:f>
        <x:v>0</x:v>
      </x:c>
      <x:c r="AJ4" s="15" t="n">
        <x:f>MAX(0,IFERROR(='입력데이터'!P4,0)-IFERROR(='입력데이터'!Q4,0)*2-IFERROR(='입력데이터'!T4,0)*3-IFERROR(='입력데이터'!Z4,0))*1.5+IFERROR(='입력데이터'!Y4,0)*0.3</x:f>
        <x:v>0</x:v>
      </x:c>
      <x:c r="AK4" s="15" t="n">
        <x:f>IFERROR(='입력데이터'!V4,0)*0.6+IFERROR(='입력데이터'!U4,0)*2+IFERROR(='입력데이터'!T4,0)*3</x:f>
        <x:v>0</x:v>
      </x:c>
      <x:c r="AL4" s="15" t="n">
        <x:f>IFERROR(='입력데이터'!AB4,0)*0.7+IFERROR(='입력데이터'!AA4,0)*1.5</x:f>
        <x:v>0</x:v>
      </x:c>
      <x:c r="AM4" s="15" t="n">
        <x:f>IFERROR(='입력데이터'!AF4,0)*5+IFERROR(IFERROR(='입력데이터'!AF4,0)/IFERROR(='입력데이터'!AL4,0),0)*3+IFERROR(='입력데이터'!AT4,0)</x:f>
        <x:v>0</x:v>
      </x:c>
      <x:c r="AN4" s="15" t="n">
        <x:f>IFERROR(='입력데이터'!AF4,0)*3+IFERROR(='입력데이터'!AG4,0)*3+IFERROR(IFERROR(='입력데이터'!AF4,0)/IFERROR(='입력데이터'!AL4,0),0)*4</x:f>
        <x:v>0</x:v>
      </x:c>
      <x:c r="AO4" s="15" t="n">
        <x:f>IFERROR(='입력데이터'!AG4,0)*12+IFERROR(='입력데이터'!AU4,0)*6</x:f>
        <x:v>0</x:v>
      </x:c>
      <x:c r="AP4" s="15" t="n">
        <x:f>IFERROR(='입력데이터'!AH4,0)*14+IFERROR(='입력데이터'!AD4,0)</x:f>
        <x:v>0</x:v>
      </x:c>
      <x:c r="AQ4" s="15" t="n">
        <x:f>IFERROR(='입력데이터'!AC4,0)*10</x:f>
        <x:v>0</x:v>
      </x:c>
      <x:c r="AR4" s="15" t="n">
        <x:f>IFERROR(='입력데이터'!AD4,0)*7+IFERROR(='입력데이터'!AH4,0)*2</x:f>
        <x:v>0</x:v>
      </x:c>
      <x:c r="AS4" s="15" t="n">
        <x:f>IFERROR(='입력데이터'!AH4,0)*8+IFERROR(='입력데이터'!AD4,0)*2+IFERROR(='입력데이터'!AI4,0)*4</x:f>
        <x:v>0</x:v>
      </x:c>
      <x:c r="AT4" s="16" t="n">
        <x:f>IFERROR(='입력데이터'!AG4,0)*8+IFERROR(='입력데이터'!AI4,0)*5+IFERROR(='입력데이터'!AU4,0)*4</x:f>
        <x:v>0</x:v>
      </x:c>
    </x:row>
    <x:row r="5">
      <x:c r="A5" s="14" t="str">
        <x:f>IF('입력데이터'!$B5="","",'입력데이터'!A5)</x:f>
      </x:c>
      <x:c r="B5" s="15" t="str">
        <x:f>IF('입력데이터'!$B5="","",'입력데이터'!B5)</x:f>
      </x:c>
      <x:c r="C5" s="15" t="str">
        <x:f>IF('입력데이터'!$B5="","",'입력데이터'!K5)</x:f>
      </x:c>
      <x:c r="D5" s="15" t="str">
        <x:f>IF('입력데이터'!$B5="","",'입력데이터'!H5)</x:f>
      </x:c>
      <x:c r="E5" s="15" t="str">
        <x:f>IF('입력데이터'!$B5="","",'입력데이터'!I5)</x:f>
      </x:c>
      <x:c r="F5" s="15" t="str">
        <x:f>IF('입력데이터'!$B5="","",'입력데이터'!J5)</x:f>
      </x:c>
      <x:c r="G5" s="15" t="str">
        <x:f>IF('입력데이터'!$B5="","",'입력데이터'!L5)</x:f>
      </x:c>
      <x:c r="H5" s="15" t="str">
        <x:f>IF('입력데이터'!$B5="","",'입력데이터'!O5)</x:f>
      </x:c>
      <x:c r="I5" s="20" t="str">
        <x:f>IF($B5="", "", ROUND(MAX(30, MIN(99, IFERROR((AE5-MIN($AE$2:$AE$101))/(MAX($AE$2:$AE$101)-MIN($AE$2:$AE$101))*99,30))),0))</x:f>
      </x:c>
      <x:c r="J5" s="20" t="str">
        <x:f>IF($B5="", "", ROUND(MAX(30, MIN(99, IFERROR((AF5-MIN($AF$2:$AF$101))/(MAX($AF$2:$AF$101)-MIN($AF$2:$AF$101))*99,30))),0))</x:f>
      </x:c>
      <x:c r="K5" s="20" t="str">
        <x:f>IF($B5="", "", ROUND(MAX(30, MIN(99, IFERROR((AG5-MIN($AG$2:$AG$101))/(MAX($AG$2:$AG$101)-MIN($AG$2:$AG$101))*99,30))),0))</x:f>
      </x:c>
      <x:c r="L5" s="20" t="str">
        <x:f>IF($B5="", "", ROUND(MAX(30, MIN(99, IFERROR((AH5-MIN($AH$2:$AH$101))/(MAX($AH$2:$AH$101)-MIN($AH$2:$AH$101))*99,30))),0))</x:f>
      </x:c>
      <x:c r="M5" s="20" t="str">
        <x:f>IF($B5="", "", ROUND(MAX(30, MIN(99, IFERROR((AI5-MIN($AI$2:$AI$101))/(MAX($AI$2:$AI$101)-MIN($AI$2:$AI$101))*99,30))),0))</x:f>
      </x:c>
      <x:c r="N5" s="20" t="str">
        <x:f>IF($B5="", "", ROUND(MAX(30, MIN(99, IFERROR((AJ5-MIN($AJ$2:$AJ$101))/(MAX($AJ$2:$AJ$101)-MIN($AJ$2:$AJ$101))*99,30))),0))</x:f>
      </x:c>
      <x:c r="O5" s="20" t="str">
        <x:f>IF($B5="", "", ROUND(MAX(30, MIN(99, IFERROR((AK5-MIN($AK$2:$AK$101))/(MAX($AK$2:$AK$101)-MIN($AK$2:$AK$101))*99,30))),0))</x:f>
      </x:c>
      <x:c r="P5" s="20" t="str">
        <x:f>IF($B5="", "", ROUND(MAX(30, MIN(99, IFERROR((AL5-MIN($AL$2:$AL$101))/(MAX($AL$2:$AL$101)-MIN($AL$2:$AL$101))*99,30))),0))</x:f>
      </x:c>
      <x:c r="Q5" s="20" t="str">
        <x:f>IF($B5="", "", ROUND(MAX(30, MIN(99, IFERROR((AM5-MIN($AM$2:$AM$101))/(MAX($AM$2:$AM$101)-MIN($AM$2:$AM$101))*99,30))),0))</x:f>
      </x:c>
      <x:c r="R5" s="20" t="str">
        <x:f>IF($B5="", "", ROUND(MAX(30, MIN(99, IFERROR((AN5-MIN($AN$2:$AN$101))/(MAX($AN$2:$AN$101)-MIN($AN$2:$AN$101))*99,30))),0))</x:f>
      </x:c>
      <x:c r="S5" s="20" t="str">
        <x:f>IF($B5="", "", ROUND(MAX(30, MIN(99, IFERROR((AO5-MIN($AO$2:$AO$101))/(MAX($AO$2:$AO$101)-MIN($AO$2:$AO$101))*99,30))),0))</x:f>
      </x:c>
      <x:c r="T5" s="20" t="str">
        <x:f>IF($B5="", "", ROUND(MAX(30, MIN(99, IFERROR((AP5-MIN($AP$2:$AP$101))/(MAX($AP$2:$AP$101)-MIN($AP$2:$AP$101))*99,30))),0))</x:f>
      </x:c>
      <x:c r="U5" s="20" t="str">
        <x:f>IF($B5="", "", ROUND(MAX(30, MIN(99, IFERROR((AQ5-MIN($AQ$2:$AQ$101))/(MAX($AQ$2:$AQ$101)-MIN($AQ$2:$AQ$101))*99,30))),0))</x:f>
      </x:c>
      <x:c r="V5" s="20" t="str">
        <x:f>IF($B5="", "", ROUND(MAX(30, MIN(99, IFERROR((AR5-MIN($AR$2:$AR$101))/(MAX($AR$2:$AR$101)-MIN($AR$2:$AR$101))*99,30))),0))</x:f>
      </x:c>
      <x:c r="W5" s="20" t="str">
        <x:f>IF($B5="", "", ROUND(MAX(30, MIN(99, IFERROR((AS5-MIN($AS$2:$AS$101))/(MAX($AS$2:$AS$101)-MIN($AS$2:$AS$101))*99,30))),0))</x:f>
      </x:c>
      <x:c r="X5" s="20" t="str">
        <x:f>IF($B5="", "", ROUND(MAX(30, MIN(99, IFERROR((AT5-MIN($AT$2:$AT$101))/(MAX($AT$2:$AT$101)-MIN($AT$2:$AT$101))*99,30))),0))</x:f>
      </x:c>
      <x:c r="Y5" s="20" t="str">
        <x:f>IF($B5="","",ROUND(AVERAGE(I5:X5),0))</x:f>
      </x:c>
      <x:c r="Z5" s="20" t="str">
        <x:f>IF($B5="","",ROUND(MAX(30,MIN(99,IFS(ISNUMBER(SEARCH("PG",UPPER(SUBSTITUTE($C5,"/","-")))),84,ISNUMBER(SEARCH("SG",UPPER(SUBSTITUTE($C5,"/","-")))),76,ISNUMBER(SEARCH("SF",UPPER(SUBSTITUTE($C5,"/","-")))),68,ISNUMBER(SEARCH("PF",UPPER(SUBSTITUTE($C5,"/","-")))),55,ISNUMBER(SEARCH("C",UPPER(SUBSTITUTE($C5,"/","-")))),42,TRUE,65)+((195-IFERROR($D5,195))*0.15)+((95-IFERROR($E5,95))*0.08))),0))</x:f>
      </x:c>
      <x:c r="AA5" s="20" t="str">
        <x:f>IF($B5="","",ROUND(MAX(30,MIN(99,IFS(ISNUMBER(SEARCH("PG",UPPER(SUBSTITUTE($C5,"/","-")))),84,ISNUMBER(SEARCH("SG",UPPER(SUBSTITUTE($C5,"/","-")))),76,ISNUMBER(SEARCH("SF",UPPER(SUBSTITUTE($C5,"/","-")))),68,ISNUMBER(SEARCH("PF",UPPER(SUBSTITUTE($C5,"/","-")))),55,ISNUMBER(SEARCH("C",UPPER(SUBSTITUTE($C5,"/","-")))),42,TRUE,65)+((195-IFERROR($D5,195))*0.18)+((95-IFERROR($E5,95))*0.10))),0))</x:f>
      </x:c>
      <x:c r="AB5" s="20" t="str">
        <x:f>IF($B5="","",ROUND(MAX(30,MIN(99,IFS(ISNUMBER(SEARCH("PG",UPPER(SUBSTITUTE($C5,"/","-")))),84,ISNUMBER(SEARCH("SG",UPPER(SUBSTITUTE($C5,"/","-")))),76,ISNUMBER(SEARCH("SF",UPPER(SUBSTITUTE($C5,"/","-")))),68,ISNUMBER(SEARCH("PF",UPPER(SUBSTITUTE($C5,"/","-")))),55,ISNUMBER(SEARCH("C",UPPER(SUBSTITUTE($C5,"/","-")))),42,TRUE,65)+2+((195-IFERROR($D5,195))*0.14)+((95-IFERROR($E5,95))*0.09))),0))</x:f>
      </x:c>
      <x:c r="AC5" s="20" t="str">
        <x:f>IF($B5="","",ROUND(MAX(30,MIN(99,IFS(ISNUMBER(SEARCH("C",UPPER(SUBSTITUTE($C5,"/","-")))),92,ISNUMBER(SEARCH("PF",UPPER(SUBSTITUTE($C5,"/","-")))),82,ISNUMBER(SEARCH("SF",UPPER(SUBSTITUTE($C5,"/","-")))),64,ISNUMBER(SEARCH("SG",UPPER(SUBSTITUTE($C5,"/","-")))),48,ISNUMBER(SEARCH("PG",UPPER(SUBSTITUTE($C5,"/","-")))),36,TRUE,60)+((IFERROR($E5,95)-95)*0.45)+((IFERROR($D5,195)-195)*0.10)+((IFERROR($F5,200)-200)*0.08))),0))</x:f>
      </x:c>
      <x:c r="AD5" s="20" t="str">
        <x:f>IF($B5="","",ROUND(MAX(30,MIN(99,65+((IFERROR($F5,200)-200)*0.22)+((IFERROR($D5,195)-195)*0.08)-((IFERROR($E5,95)-95)*0.07))),0))</x:f>
      </x:c>
      <x:c r="AE5" s="15" t="n">
        <x:f>IFERROR(='입력데이터'!S5,0)*0.4+IFERROR(='입력데이터'!AP5,0)*0.4+IFERROR(='입력데이터'!AO5,0)*0.5</x:f>
        <x:v>0</x:v>
      </x:c>
      <x:c r="AF5" s="15" t="n">
        <x:f>IFERROR(='입력데이터'!S5,0)*0.5+IFERROR(='입력데이터'!P5,0)*0.8+IFERROR(='입력데이터'!AG5,0)</x:f>
        <x:v>0</x:v>
      </x:c>
      <x:c r="AG5" s="15" t="n">
        <x:f>IFERROR(='입력데이터'!AJ5,0)*8+IFERROR(IFERROR(='입력데이터'!AJ5,0)/IFERROR(='입력데이터'!AK5,0),0)*30</x:f>
        <x:v>0</x:v>
      </x:c>
      <x:c r="AH5" s="15" t="n">
        <x:f>IFERROR(='입력데이터'!AJ5,0)*6+IFERROR(='입력데이터'!AH5,0)*4</x:f>
        <x:v>0</x:v>
      </x:c>
      <x:c r="AI5" s="15" t="n">
        <x:f>IFERROR(='입력데이터'!AP5,0)*0.4+IFERROR(='입력데이터'!AE5,0)*1.5+IFERROR(='입력데이터'!Q5,0)*1.5</x:f>
        <x:v>0</x:v>
      </x:c>
      <x:c r="AJ5" s="15" t="n">
        <x:f>MAX(0,IFERROR(='입력데이터'!P5,0)-IFERROR(='입력데이터'!Q5,0)*2-IFERROR(='입력데이터'!T5,0)*3-IFERROR(='입력데이터'!Z5,0))*1.5+IFERROR(='입력데이터'!Y5,0)*0.3</x:f>
        <x:v>0</x:v>
      </x:c>
      <x:c r="AK5" s="15" t="n">
        <x:f>IFERROR(='입력데이터'!V5,0)*0.6+IFERROR(='입력데이터'!U5,0)*2+IFERROR(='입력데이터'!T5,0)*3</x:f>
        <x:v>0</x:v>
      </x:c>
      <x:c r="AL5" s="15" t="n">
        <x:f>IFERROR(='입력데이터'!AB5,0)*0.7+IFERROR(='입력데이터'!AA5,0)*1.5</x:f>
        <x:v>0</x:v>
      </x:c>
      <x:c r="AM5" s="15" t="n">
        <x:f>IFERROR(='입력데이터'!AF5,0)*5+IFERROR(IFERROR(='입력데이터'!AF5,0)/IFERROR(='입력데이터'!AL5,0),0)*3+IFERROR(='입력데이터'!AT5,0)</x:f>
        <x:v>0</x:v>
      </x:c>
      <x:c r="AN5" s="15" t="n">
        <x:f>IFERROR(='입력데이터'!AF5,0)*3+IFERROR(='입력데이터'!AG5,0)*3+IFERROR(IFERROR(='입력데이터'!AF5,0)/IFERROR(='입력데이터'!AL5,0),0)*4</x:f>
        <x:v>0</x:v>
      </x:c>
      <x:c r="AO5" s="15" t="n">
        <x:f>IFERROR(='입력데이터'!AG5,0)*12+IFERROR(='입력데이터'!AU5,0)*6</x:f>
        <x:v>0</x:v>
      </x:c>
      <x:c r="AP5" s="15" t="n">
        <x:f>IFERROR(='입력데이터'!AH5,0)*14+IFERROR(='입력데이터'!AD5,0)</x:f>
        <x:v>0</x:v>
      </x:c>
      <x:c r="AQ5" s="15" t="n">
        <x:f>IFERROR(='입력데이터'!AC5,0)*10</x:f>
        <x:v>0</x:v>
      </x:c>
      <x:c r="AR5" s="15" t="n">
        <x:f>IFERROR(='입력데이터'!AD5,0)*7+IFERROR(='입력데이터'!AH5,0)*2</x:f>
        <x:v>0</x:v>
      </x:c>
      <x:c r="AS5" s="15" t="n">
        <x:f>IFERROR(='입력데이터'!AH5,0)*8+IFERROR(='입력데이터'!AD5,0)*2+IFERROR(='입력데이터'!AI5,0)*4</x:f>
        <x:v>0</x:v>
      </x:c>
      <x:c r="AT5" s="16" t="n">
        <x:f>IFERROR(='입력데이터'!AG5,0)*8+IFERROR(='입력데이터'!AI5,0)*5+IFERROR(='입력데이터'!AU5,0)*4</x:f>
        <x:v>0</x:v>
      </x:c>
    </x:row>
    <x:row r="6">
      <x:c r="A6" s="14" t="str">
        <x:f>IF('입력데이터'!$B6="","",'입력데이터'!A6)</x:f>
      </x:c>
      <x:c r="B6" s="15" t="str">
        <x:f>IF('입력데이터'!$B6="","",'입력데이터'!B6)</x:f>
      </x:c>
      <x:c r="C6" s="15" t="str">
        <x:f>IF('입력데이터'!$B6="","",'입력데이터'!K6)</x:f>
      </x:c>
      <x:c r="D6" s="15" t="str">
        <x:f>IF('입력데이터'!$B6="","",'입력데이터'!H6)</x:f>
      </x:c>
      <x:c r="E6" s="15" t="str">
        <x:f>IF('입력데이터'!$B6="","",'입력데이터'!I6)</x:f>
      </x:c>
      <x:c r="F6" s="15" t="str">
        <x:f>IF('입력데이터'!$B6="","",'입력데이터'!J6)</x:f>
      </x:c>
      <x:c r="G6" s="15" t="str">
        <x:f>IF('입력데이터'!$B6="","",'입력데이터'!L6)</x:f>
      </x:c>
      <x:c r="H6" s="15" t="str">
        <x:f>IF('입력데이터'!$B6="","",'입력데이터'!O6)</x:f>
      </x:c>
      <x:c r="I6" s="20" t="str">
        <x:f>IF($B6="", "", ROUND(MAX(30, MIN(99, IFERROR((AE6-MIN($AE$2:$AE$101))/(MAX($AE$2:$AE$101)-MIN($AE$2:$AE$101))*99,30))),0))</x:f>
      </x:c>
      <x:c r="J6" s="20" t="str">
        <x:f>IF($B6="", "", ROUND(MAX(30, MIN(99, IFERROR((AF6-MIN($AF$2:$AF$101))/(MAX($AF$2:$AF$101)-MIN($AF$2:$AF$101))*99,30))),0))</x:f>
      </x:c>
      <x:c r="K6" s="20" t="str">
        <x:f>IF($B6="", "", ROUND(MAX(30, MIN(99, IFERROR((AG6-MIN($AG$2:$AG$101))/(MAX($AG$2:$AG$101)-MIN($AG$2:$AG$101))*99,30))),0))</x:f>
      </x:c>
      <x:c r="L6" s="20" t="str">
        <x:f>IF($B6="", "", ROUND(MAX(30, MIN(99, IFERROR((AH6-MIN($AH$2:$AH$101))/(MAX($AH$2:$AH$101)-MIN($AH$2:$AH$101))*99,30))),0))</x:f>
      </x:c>
      <x:c r="M6" s="20" t="str">
        <x:f>IF($B6="", "", ROUND(MAX(30, MIN(99, IFERROR((AI6-MIN($AI$2:$AI$101))/(MAX($AI$2:$AI$101)-MIN($AI$2:$AI$101))*99,30))),0))</x:f>
      </x:c>
      <x:c r="N6" s="20" t="str">
        <x:f>IF($B6="", "", ROUND(MAX(30, MIN(99, IFERROR((AJ6-MIN($AJ$2:$AJ$101))/(MAX($AJ$2:$AJ$101)-MIN($AJ$2:$AJ$101))*99,30))),0))</x:f>
      </x:c>
      <x:c r="O6" s="20" t="str">
        <x:f>IF($B6="", "", ROUND(MAX(30, MIN(99, IFERROR((AK6-MIN($AK$2:$AK$101))/(MAX($AK$2:$AK$101)-MIN($AK$2:$AK$101))*99,30))),0))</x:f>
      </x:c>
      <x:c r="P6" s="20" t="str">
        <x:f>IF($B6="", "", ROUND(MAX(30, MIN(99, IFERROR((AL6-MIN($AL$2:$AL$101))/(MAX($AL$2:$AL$101)-MIN($AL$2:$AL$101))*99,30))),0))</x:f>
      </x:c>
      <x:c r="Q6" s="20" t="str">
        <x:f>IF($B6="", "", ROUND(MAX(30, MIN(99, IFERROR((AM6-MIN($AM$2:$AM$101))/(MAX($AM$2:$AM$101)-MIN($AM$2:$AM$101))*99,30))),0))</x:f>
      </x:c>
      <x:c r="R6" s="20" t="str">
        <x:f>IF($B6="", "", ROUND(MAX(30, MIN(99, IFERROR((AN6-MIN($AN$2:$AN$101))/(MAX($AN$2:$AN$101)-MIN($AN$2:$AN$101))*99,30))),0))</x:f>
      </x:c>
      <x:c r="S6" s="20" t="str">
        <x:f>IF($B6="", "", ROUND(MAX(30, MIN(99, IFERROR((AO6-MIN($AO$2:$AO$101))/(MAX($AO$2:$AO$101)-MIN($AO$2:$AO$101))*99,30))),0))</x:f>
      </x:c>
      <x:c r="T6" s="20" t="str">
        <x:f>IF($B6="", "", ROUND(MAX(30, MIN(99, IFERROR((AP6-MIN($AP$2:$AP$101))/(MAX($AP$2:$AP$101)-MIN($AP$2:$AP$101))*99,30))),0))</x:f>
      </x:c>
      <x:c r="U6" s="20" t="str">
        <x:f>IF($B6="", "", ROUND(MAX(30, MIN(99, IFERROR((AQ6-MIN($AQ$2:$AQ$101))/(MAX($AQ$2:$AQ$101)-MIN($AQ$2:$AQ$101))*99,30))),0))</x:f>
      </x:c>
      <x:c r="V6" s="20" t="str">
        <x:f>IF($B6="", "", ROUND(MAX(30, MIN(99, IFERROR((AR6-MIN($AR$2:$AR$101))/(MAX($AR$2:$AR$101)-MIN($AR$2:$AR$101))*99,30))),0))</x:f>
      </x:c>
      <x:c r="W6" s="20" t="str">
        <x:f>IF($B6="", "", ROUND(MAX(30, MIN(99, IFERROR((AS6-MIN($AS$2:$AS$101))/(MAX($AS$2:$AS$101)-MIN($AS$2:$AS$101))*99,30))),0))</x:f>
      </x:c>
      <x:c r="X6" s="20" t="str">
        <x:f>IF($B6="", "", ROUND(MAX(30, MIN(99, IFERROR((AT6-MIN($AT$2:$AT$101))/(MAX($AT$2:$AT$101)-MIN($AT$2:$AT$101))*99,30))),0))</x:f>
      </x:c>
      <x:c r="Y6" s="20" t="str">
        <x:f>IF($B6="","",ROUND(AVERAGE(I6:X6),0))</x:f>
      </x:c>
      <x:c r="Z6" s="20" t="str">
        <x:f>IF($B6="","",ROUND(MAX(30,MIN(99,IFS(ISNUMBER(SEARCH("PG",UPPER(SUBSTITUTE($C6,"/","-")))),84,ISNUMBER(SEARCH("SG",UPPER(SUBSTITUTE($C6,"/","-")))),76,ISNUMBER(SEARCH("SF",UPPER(SUBSTITUTE($C6,"/","-")))),68,ISNUMBER(SEARCH("PF",UPPER(SUBSTITUTE($C6,"/","-")))),55,ISNUMBER(SEARCH("C",UPPER(SUBSTITUTE($C6,"/","-")))),42,TRUE,65)+((195-IFERROR($D6,195))*0.15)+((95-IFERROR($E6,95))*0.08))),0))</x:f>
      </x:c>
      <x:c r="AA6" s="20" t="str">
        <x:f>IF($B6="","",ROUND(MAX(30,MIN(99,IFS(ISNUMBER(SEARCH("PG",UPPER(SUBSTITUTE($C6,"/","-")))),84,ISNUMBER(SEARCH("SG",UPPER(SUBSTITUTE($C6,"/","-")))),76,ISNUMBER(SEARCH("SF",UPPER(SUBSTITUTE($C6,"/","-")))),68,ISNUMBER(SEARCH("PF",UPPER(SUBSTITUTE($C6,"/","-")))),55,ISNUMBER(SEARCH("C",UPPER(SUBSTITUTE($C6,"/","-")))),42,TRUE,65)+((195-IFERROR($D6,195))*0.18)+((95-IFERROR($E6,95))*0.10))),0))</x:f>
      </x:c>
      <x:c r="AB6" s="20" t="str">
        <x:f>IF($B6="","",ROUND(MAX(30,MIN(99,IFS(ISNUMBER(SEARCH("PG",UPPER(SUBSTITUTE($C6,"/","-")))),84,ISNUMBER(SEARCH("SG",UPPER(SUBSTITUTE($C6,"/","-")))),76,ISNUMBER(SEARCH("SF",UPPER(SUBSTITUTE($C6,"/","-")))),68,ISNUMBER(SEARCH("PF",UPPER(SUBSTITUTE($C6,"/","-")))),55,ISNUMBER(SEARCH("C",UPPER(SUBSTITUTE($C6,"/","-")))),42,TRUE,65)+2+((195-IFERROR($D6,195))*0.14)+((95-IFERROR($E6,95))*0.09))),0))</x:f>
      </x:c>
      <x:c r="AC6" s="20" t="str">
        <x:f>IF($B6="","",ROUND(MAX(30,MIN(99,IFS(ISNUMBER(SEARCH("C",UPPER(SUBSTITUTE($C6,"/","-")))),92,ISNUMBER(SEARCH("PF",UPPER(SUBSTITUTE($C6,"/","-")))),82,ISNUMBER(SEARCH("SF",UPPER(SUBSTITUTE($C6,"/","-")))),64,ISNUMBER(SEARCH("SG",UPPER(SUBSTITUTE($C6,"/","-")))),48,ISNUMBER(SEARCH("PG",UPPER(SUBSTITUTE($C6,"/","-")))),36,TRUE,60)+((IFERROR($E6,95)-95)*0.45)+((IFERROR($D6,195)-195)*0.10)+((IFERROR($F6,200)-200)*0.08))),0))</x:f>
      </x:c>
      <x:c r="AD6" s="20" t="str">
        <x:f>IF($B6="","",ROUND(MAX(30,MIN(99,65+((IFERROR($F6,200)-200)*0.22)+((IFERROR($D6,195)-195)*0.08)-((IFERROR($E6,95)-95)*0.07))),0))</x:f>
      </x:c>
      <x:c r="AE6" s="15" t="n">
        <x:f>IFERROR(='입력데이터'!S6,0)*0.4+IFERROR(='입력데이터'!AP6,0)*0.4+IFERROR(='입력데이터'!AO6,0)*0.5</x:f>
        <x:v>0</x:v>
      </x:c>
      <x:c r="AF6" s="15" t="n">
        <x:f>IFERROR(='입력데이터'!S6,0)*0.5+IFERROR(='입력데이터'!P6,0)*0.8+IFERROR(='입력데이터'!AG6,0)</x:f>
        <x:v>0</x:v>
      </x:c>
      <x:c r="AG6" s="15" t="n">
        <x:f>IFERROR(='입력데이터'!AJ6,0)*8+IFERROR(IFERROR(='입력데이터'!AJ6,0)/IFERROR(='입력데이터'!AK6,0),0)*30</x:f>
        <x:v>0</x:v>
      </x:c>
      <x:c r="AH6" s="15" t="n">
        <x:f>IFERROR(='입력데이터'!AJ6,0)*6+IFERROR(='입력데이터'!AH6,0)*4</x:f>
        <x:v>0</x:v>
      </x:c>
      <x:c r="AI6" s="15" t="n">
        <x:f>IFERROR(='입력데이터'!AP6,0)*0.4+IFERROR(='입력데이터'!AE6,0)*1.5+IFERROR(='입력데이터'!Q6,0)*1.5</x:f>
        <x:v>0</x:v>
      </x:c>
      <x:c r="AJ6" s="15" t="n">
        <x:f>MAX(0,IFERROR(='입력데이터'!P6,0)-IFERROR(='입력데이터'!Q6,0)*2-IFERROR(='입력데이터'!T6,0)*3-IFERROR(='입력데이터'!Z6,0))*1.5+IFERROR(='입력데이터'!Y6,0)*0.3</x:f>
        <x:v>0</x:v>
      </x:c>
      <x:c r="AK6" s="15" t="n">
        <x:f>IFERROR(='입력데이터'!V6,0)*0.6+IFERROR(='입력데이터'!U6,0)*2+IFERROR(='입력데이터'!T6,0)*3</x:f>
        <x:v>0</x:v>
      </x:c>
      <x:c r="AL6" s="15" t="n">
        <x:f>IFERROR(='입력데이터'!AB6,0)*0.7+IFERROR(='입력데이터'!AA6,0)*1.5</x:f>
        <x:v>0</x:v>
      </x:c>
      <x:c r="AM6" s="15" t="n">
        <x:f>IFERROR(='입력데이터'!AF6,0)*5+IFERROR(IFERROR(='입력데이터'!AF6,0)/IFERROR(='입력데이터'!AL6,0),0)*3+IFERROR(='입력데이터'!AT6,0)</x:f>
        <x:v>0</x:v>
      </x:c>
      <x:c r="AN6" s="15" t="n">
        <x:f>IFERROR(='입력데이터'!AF6,0)*3+IFERROR(='입력데이터'!AG6,0)*3+IFERROR(IFERROR(='입력데이터'!AF6,0)/IFERROR(='입력데이터'!AL6,0),0)*4</x:f>
        <x:v>0</x:v>
      </x:c>
      <x:c r="AO6" s="15" t="n">
        <x:f>IFERROR(='입력데이터'!AG6,0)*12+IFERROR(='입력데이터'!AU6,0)*6</x:f>
        <x:v>0</x:v>
      </x:c>
      <x:c r="AP6" s="15" t="n">
        <x:f>IFERROR(='입력데이터'!AH6,0)*14+IFERROR(='입력데이터'!AD6,0)</x:f>
        <x:v>0</x:v>
      </x:c>
      <x:c r="AQ6" s="15" t="n">
        <x:f>IFERROR(='입력데이터'!AC6,0)*10</x:f>
        <x:v>0</x:v>
      </x:c>
      <x:c r="AR6" s="15" t="n">
        <x:f>IFERROR(='입력데이터'!AD6,0)*7+IFERROR(='입력데이터'!AH6,0)*2</x:f>
        <x:v>0</x:v>
      </x:c>
      <x:c r="AS6" s="15" t="n">
        <x:f>IFERROR(='입력데이터'!AH6,0)*8+IFERROR(='입력데이터'!AD6,0)*2+IFERROR(='입력데이터'!AI6,0)*4</x:f>
        <x:v>0</x:v>
      </x:c>
      <x:c r="AT6" s="16" t="n">
        <x:f>IFERROR(='입력데이터'!AG6,0)*8+IFERROR(='입력데이터'!AI6,0)*5+IFERROR(='입력데이터'!AU6,0)*4</x:f>
        <x:v>0</x:v>
      </x:c>
    </x:row>
    <x:row r="7">
      <x:c r="A7" s="14" t="str">
        <x:f>IF('입력데이터'!$B7="","",'입력데이터'!A7)</x:f>
      </x:c>
      <x:c r="B7" s="15" t="str">
        <x:f>IF('입력데이터'!$B7="","",'입력데이터'!B7)</x:f>
      </x:c>
      <x:c r="C7" s="15" t="str">
        <x:f>IF('입력데이터'!$B7="","",'입력데이터'!K7)</x:f>
      </x:c>
      <x:c r="D7" s="15" t="str">
        <x:f>IF('입력데이터'!$B7="","",'입력데이터'!H7)</x:f>
      </x:c>
      <x:c r="E7" s="15" t="str">
        <x:f>IF('입력데이터'!$B7="","",'입력데이터'!I7)</x:f>
      </x:c>
      <x:c r="F7" s="15" t="str">
        <x:f>IF('입력데이터'!$B7="","",'입력데이터'!J7)</x:f>
      </x:c>
      <x:c r="G7" s="15" t="str">
        <x:f>IF('입력데이터'!$B7="","",'입력데이터'!L7)</x:f>
      </x:c>
      <x:c r="H7" s="15" t="str">
        <x:f>IF('입력데이터'!$B7="","",'입력데이터'!O7)</x:f>
      </x:c>
      <x:c r="I7" s="20" t="str">
        <x:f>IF($B7="", "", ROUND(MAX(30, MIN(99, IFERROR((AE7-MIN($AE$2:$AE$101))/(MAX($AE$2:$AE$101)-MIN($AE$2:$AE$101))*99,30))),0))</x:f>
      </x:c>
      <x:c r="J7" s="20" t="str">
        <x:f>IF($B7="", "", ROUND(MAX(30, MIN(99, IFERROR((AF7-MIN($AF$2:$AF$101))/(MAX($AF$2:$AF$101)-MIN($AF$2:$AF$101))*99,30))),0))</x:f>
      </x:c>
      <x:c r="K7" s="20" t="str">
        <x:f>IF($B7="", "", ROUND(MAX(30, MIN(99, IFERROR((AG7-MIN($AG$2:$AG$101))/(MAX($AG$2:$AG$101)-MIN($AG$2:$AG$101))*99,30))),0))</x:f>
      </x:c>
      <x:c r="L7" s="20" t="str">
        <x:f>IF($B7="", "", ROUND(MAX(30, MIN(99, IFERROR((AH7-MIN($AH$2:$AH$101))/(MAX($AH$2:$AH$101)-MIN($AH$2:$AH$101))*99,30))),0))</x:f>
      </x:c>
      <x:c r="M7" s="20" t="str">
        <x:f>IF($B7="", "", ROUND(MAX(30, MIN(99, IFERROR((AI7-MIN($AI$2:$AI$101))/(MAX($AI$2:$AI$101)-MIN($AI$2:$AI$101))*99,30))),0))</x:f>
      </x:c>
      <x:c r="N7" s="20" t="str">
        <x:f>IF($B7="", "", ROUND(MAX(30, MIN(99, IFERROR((AJ7-MIN($AJ$2:$AJ$101))/(MAX($AJ$2:$AJ$101)-MIN($AJ$2:$AJ$101))*99,30))),0))</x:f>
      </x:c>
      <x:c r="O7" s="20" t="str">
        <x:f>IF($B7="", "", ROUND(MAX(30, MIN(99, IFERROR((AK7-MIN($AK$2:$AK$101))/(MAX($AK$2:$AK$101)-MIN($AK$2:$AK$101))*99,30))),0))</x:f>
      </x:c>
      <x:c r="P7" s="20" t="str">
        <x:f>IF($B7="", "", ROUND(MAX(30, MIN(99, IFERROR((AL7-MIN($AL$2:$AL$101))/(MAX($AL$2:$AL$101)-MIN($AL$2:$AL$101))*99,30))),0))</x:f>
      </x:c>
      <x:c r="Q7" s="20" t="str">
        <x:f>IF($B7="", "", ROUND(MAX(30, MIN(99, IFERROR((AM7-MIN($AM$2:$AM$101))/(MAX($AM$2:$AM$101)-MIN($AM$2:$AM$101))*99,30))),0))</x:f>
      </x:c>
      <x:c r="R7" s="20" t="str">
        <x:f>IF($B7="", "", ROUND(MAX(30, MIN(99, IFERROR((AN7-MIN($AN$2:$AN$101))/(MAX($AN$2:$AN$101)-MIN($AN$2:$AN$101))*99,30))),0))</x:f>
      </x:c>
      <x:c r="S7" s="20" t="str">
        <x:f>IF($B7="", "", ROUND(MAX(30, MIN(99, IFERROR((AO7-MIN($AO$2:$AO$101))/(MAX($AO$2:$AO$101)-MIN($AO$2:$AO$101))*99,30))),0))</x:f>
      </x:c>
      <x:c r="T7" s="20" t="str">
        <x:f>IF($B7="", "", ROUND(MAX(30, MIN(99, IFERROR((AP7-MIN($AP$2:$AP$101))/(MAX($AP$2:$AP$101)-MIN($AP$2:$AP$101))*99,30))),0))</x:f>
      </x:c>
      <x:c r="U7" s="20" t="str">
        <x:f>IF($B7="", "", ROUND(MAX(30, MIN(99, IFERROR((AQ7-MIN($AQ$2:$AQ$101))/(MAX($AQ$2:$AQ$101)-MIN($AQ$2:$AQ$101))*99,30))),0))</x:f>
      </x:c>
      <x:c r="V7" s="20" t="str">
        <x:f>IF($B7="", "", ROUND(MAX(30, MIN(99, IFERROR((AR7-MIN($AR$2:$AR$101))/(MAX($AR$2:$AR$101)-MIN($AR$2:$AR$101))*99,30))),0))</x:f>
      </x:c>
      <x:c r="W7" s="20" t="str">
        <x:f>IF($B7="", "", ROUND(MAX(30, MIN(99, IFERROR((AS7-MIN($AS$2:$AS$101))/(MAX($AS$2:$AS$101)-MIN($AS$2:$AS$101))*99,30))),0))</x:f>
      </x:c>
      <x:c r="X7" s="20" t="str">
        <x:f>IF($B7="", "", ROUND(MAX(30, MIN(99, IFERROR((AT7-MIN($AT$2:$AT$101))/(MAX($AT$2:$AT$101)-MIN($AT$2:$AT$101))*99,30))),0))</x:f>
      </x:c>
      <x:c r="Y7" s="20" t="str">
        <x:f>IF($B7="","",ROUND(AVERAGE(I7:X7),0))</x:f>
      </x:c>
      <x:c r="Z7" s="20" t="str">
        <x:f>IF($B7="","",ROUND(MAX(30,MIN(99,IFS(ISNUMBER(SEARCH("PG",UPPER(SUBSTITUTE($C7,"/","-")))),84,ISNUMBER(SEARCH("SG",UPPER(SUBSTITUTE($C7,"/","-")))),76,ISNUMBER(SEARCH("SF",UPPER(SUBSTITUTE($C7,"/","-")))),68,ISNUMBER(SEARCH("PF",UPPER(SUBSTITUTE($C7,"/","-")))),55,ISNUMBER(SEARCH("C",UPPER(SUBSTITUTE($C7,"/","-")))),42,TRUE,65)+((195-IFERROR($D7,195))*0.15)+((95-IFERROR($E7,95))*0.08))),0))</x:f>
      </x:c>
      <x:c r="AA7" s="20" t="str">
        <x:f>IF($B7="","",ROUND(MAX(30,MIN(99,IFS(ISNUMBER(SEARCH("PG",UPPER(SUBSTITUTE($C7,"/","-")))),84,ISNUMBER(SEARCH("SG",UPPER(SUBSTITUTE($C7,"/","-")))),76,ISNUMBER(SEARCH("SF",UPPER(SUBSTITUTE($C7,"/","-")))),68,ISNUMBER(SEARCH("PF",UPPER(SUBSTITUTE($C7,"/","-")))),55,ISNUMBER(SEARCH("C",UPPER(SUBSTITUTE($C7,"/","-")))),42,TRUE,65)+((195-IFERROR($D7,195))*0.18)+((95-IFERROR($E7,95))*0.10))),0))</x:f>
      </x:c>
      <x:c r="AB7" s="20" t="str">
        <x:f>IF($B7="","",ROUND(MAX(30,MIN(99,IFS(ISNUMBER(SEARCH("PG",UPPER(SUBSTITUTE($C7,"/","-")))),84,ISNUMBER(SEARCH("SG",UPPER(SUBSTITUTE($C7,"/","-")))),76,ISNUMBER(SEARCH("SF",UPPER(SUBSTITUTE($C7,"/","-")))),68,ISNUMBER(SEARCH("PF",UPPER(SUBSTITUTE($C7,"/","-")))),55,ISNUMBER(SEARCH("C",UPPER(SUBSTITUTE($C7,"/","-")))),42,TRUE,65)+2+((195-IFERROR($D7,195))*0.14)+((95-IFERROR($E7,95))*0.09))),0))</x:f>
      </x:c>
      <x:c r="AC7" s="20" t="str">
        <x:f>IF($B7="","",ROUND(MAX(30,MIN(99,IFS(ISNUMBER(SEARCH("C",UPPER(SUBSTITUTE($C7,"/","-")))),92,ISNUMBER(SEARCH("PF",UPPER(SUBSTITUTE($C7,"/","-")))),82,ISNUMBER(SEARCH("SF",UPPER(SUBSTITUTE($C7,"/","-")))),64,ISNUMBER(SEARCH("SG",UPPER(SUBSTITUTE($C7,"/","-")))),48,ISNUMBER(SEARCH("PG",UPPER(SUBSTITUTE($C7,"/","-")))),36,TRUE,60)+((IFERROR($E7,95)-95)*0.45)+((IFERROR($D7,195)-195)*0.10)+((IFERROR($F7,200)-200)*0.08))),0))</x:f>
      </x:c>
      <x:c r="AD7" s="20" t="str">
        <x:f>IF($B7="","",ROUND(MAX(30,MIN(99,65+((IFERROR($F7,200)-200)*0.22)+((IFERROR($D7,195)-195)*0.08)-((IFERROR($E7,95)-95)*0.07))),0))</x:f>
      </x:c>
      <x:c r="AE7" s="15" t="n">
        <x:f>IFERROR(='입력데이터'!S7,0)*0.4+IFERROR(='입력데이터'!AP7,0)*0.4+IFERROR(='입력데이터'!AO7,0)*0.5</x:f>
        <x:v>0</x:v>
      </x:c>
      <x:c r="AF7" s="15" t="n">
        <x:f>IFERROR(='입력데이터'!S7,0)*0.5+IFERROR(='입력데이터'!P7,0)*0.8+IFERROR(='입력데이터'!AG7,0)</x:f>
        <x:v>0</x:v>
      </x:c>
      <x:c r="AG7" s="15" t="n">
        <x:f>IFERROR(='입력데이터'!AJ7,0)*8+IFERROR(IFERROR(='입력데이터'!AJ7,0)/IFERROR(='입력데이터'!AK7,0),0)*30</x:f>
        <x:v>0</x:v>
      </x:c>
      <x:c r="AH7" s="15" t="n">
        <x:f>IFERROR(='입력데이터'!AJ7,0)*6+IFERROR(='입력데이터'!AH7,0)*4</x:f>
        <x:v>0</x:v>
      </x:c>
      <x:c r="AI7" s="15" t="n">
        <x:f>IFERROR(='입력데이터'!AP7,0)*0.4+IFERROR(='입력데이터'!AE7,0)*1.5+IFERROR(='입력데이터'!Q7,0)*1.5</x:f>
        <x:v>0</x:v>
      </x:c>
      <x:c r="AJ7" s="15" t="n">
        <x:f>MAX(0,IFERROR(='입력데이터'!P7,0)-IFERROR(='입력데이터'!Q7,0)*2-IFERROR(='입력데이터'!T7,0)*3-IFERROR(='입력데이터'!Z7,0))*1.5+IFERROR(='입력데이터'!Y7,0)*0.3</x:f>
        <x:v>0</x:v>
      </x:c>
      <x:c r="AK7" s="15" t="n">
        <x:f>IFERROR(='입력데이터'!V7,0)*0.6+IFERROR(='입력데이터'!U7,0)*2+IFERROR(='입력데이터'!T7,0)*3</x:f>
        <x:v>0</x:v>
      </x:c>
      <x:c r="AL7" s="15" t="n">
        <x:f>IFERROR(='입력데이터'!AB7,0)*0.7+IFERROR(='입력데이터'!AA7,0)*1.5</x:f>
        <x:v>0</x:v>
      </x:c>
      <x:c r="AM7" s="15" t="n">
        <x:f>IFERROR(='입력데이터'!AF7,0)*5+IFERROR(IFERROR(='입력데이터'!AF7,0)/IFERROR(='입력데이터'!AL7,0),0)*3+IFERROR(='입력데이터'!AT7,0)</x:f>
        <x:v>0</x:v>
      </x:c>
      <x:c r="AN7" s="15" t="n">
        <x:f>IFERROR(='입력데이터'!AF7,0)*3+IFERROR(='입력데이터'!AG7,0)*3+IFERROR(IFERROR(='입력데이터'!AF7,0)/IFERROR(='입력데이터'!AL7,0),0)*4</x:f>
        <x:v>0</x:v>
      </x:c>
      <x:c r="AO7" s="15" t="n">
        <x:f>IFERROR(='입력데이터'!AG7,0)*12+IFERROR(='입력데이터'!AU7,0)*6</x:f>
        <x:v>0</x:v>
      </x:c>
      <x:c r="AP7" s="15" t="n">
        <x:f>IFERROR(='입력데이터'!AH7,0)*14+IFERROR(='입력데이터'!AD7,0)</x:f>
        <x:v>0</x:v>
      </x:c>
      <x:c r="AQ7" s="15" t="n">
        <x:f>IFERROR(='입력데이터'!AC7,0)*10</x:f>
        <x:v>0</x:v>
      </x:c>
      <x:c r="AR7" s="15" t="n">
        <x:f>IFERROR(='입력데이터'!AD7,0)*7+IFERROR(='입력데이터'!AH7,0)*2</x:f>
        <x:v>0</x:v>
      </x:c>
      <x:c r="AS7" s="15" t="n">
        <x:f>IFERROR(='입력데이터'!AH7,0)*8+IFERROR(='입력데이터'!AD7,0)*2+IFERROR(='입력데이터'!AI7,0)*4</x:f>
        <x:v>0</x:v>
      </x:c>
      <x:c r="AT7" s="16" t="n">
        <x:f>IFERROR(='입력데이터'!AG7,0)*8+IFERROR(='입력데이터'!AI7,0)*5+IFERROR(='입력데이터'!AU7,0)*4</x:f>
        <x:v>0</x:v>
      </x:c>
    </x:row>
    <x:row r="8">
      <x:c r="A8" s="14" t="str">
        <x:f>IF('입력데이터'!$B8="","",'입력데이터'!A8)</x:f>
      </x:c>
      <x:c r="B8" s="15" t="str">
        <x:f>IF('입력데이터'!$B8="","",'입력데이터'!B8)</x:f>
      </x:c>
      <x:c r="C8" s="15" t="str">
        <x:f>IF('입력데이터'!$B8="","",'입력데이터'!K8)</x:f>
      </x:c>
      <x:c r="D8" s="15" t="str">
        <x:f>IF('입력데이터'!$B8="","",'입력데이터'!H8)</x:f>
      </x:c>
      <x:c r="E8" s="15" t="str">
        <x:f>IF('입력데이터'!$B8="","",'입력데이터'!I8)</x:f>
      </x:c>
      <x:c r="F8" s="15" t="str">
        <x:f>IF('입력데이터'!$B8="","",'입력데이터'!J8)</x:f>
      </x:c>
      <x:c r="G8" s="15" t="str">
        <x:f>IF('입력데이터'!$B8="","",'입력데이터'!L8)</x:f>
      </x:c>
      <x:c r="H8" s="15" t="str">
        <x:f>IF('입력데이터'!$B8="","",'입력데이터'!O8)</x:f>
      </x:c>
      <x:c r="I8" s="20" t="str">
        <x:f>IF($B8="", "", ROUND(MAX(30, MIN(99, IFERROR((AE8-MIN($AE$2:$AE$101))/(MAX($AE$2:$AE$101)-MIN($AE$2:$AE$101))*99,30))),0))</x:f>
      </x:c>
      <x:c r="J8" s="20" t="str">
        <x:f>IF($B8="", "", ROUND(MAX(30, MIN(99, IFERROR((AF8-MIN($AF$2:$AF$101))/(MAX($AF$2:$AF$101)-MIN($AF$2:$AF$101))*99,30))),0))</x:f>
      </x:c>
      <x:c r="K8" s="20" t="str">
        <x:f>IF($B8="", "", ROUND(MAX(30, MIN(99, IFERROR((AG8-MIN($AG$2:$AG$101))/(MAX($AG$2:$AG$101)-MIN($AG$2:$AG$101))*99,30))),0))</x:f>
      </x:c>
      <x:c r="L8" s="20" t="str">
        <x:f>IF($B8="", "", ROUND(MAX(30, MIN(99, IFERROR((AH8-MIN($AH$2:$AH$101))/(MAX($AH$2:$AH$101)-MIN($AH$2:$AH$101))*99,30))),0))</x:f>
      </x:c>
      <x:c r="M8" s="20" t="str">
        <x:f>IF($B8="", "", ROUND(MAX(30, MIN(99, IFERROR((AI8-MIN($AI$2:$AI$101))/(MAX($AI$2:$AI$101)-MIN($AI$2:$AI$101))*99,30))),0))</x:f>
      </x:c>
      <x:c r="N8" s="20" t="str">
        <x:f>IF($B8="", "", ROUND(MAX(30, MIN(99, IFERROR((AJ8-MIN($AJ$2:$AJ$101))/(MAX($AJ$2:$AJ$101)-MIN($AJ$2:$AJ$101))*99,30))),0))</x:f>
      </x:c>
      <x:c r="O8" s="20" t="str">
        <x:f>IF($B8="", "", ROUND(MAX(30, MIN(99, IFERROR((AK8-MIN($AK$2:$AK$101))/(MAX($AK$2:$AK$101)-MIN($AK$2:$AK$101))*99,30))),0))</x:f>
      </x:c>
      <x:c r="P8" s="20" t="str">
        <x:f>IF($B8="", "", ROUND(MAX(30, MIN(99, IFERROR((AL8-MIN($AL$2:$AL$101))/(MAX($AL$2:$AL$101)-MIN($AL$2:$AL$101))*99,30))),0))</x:f>
      </x:c>
      <x:c r="Q8" s="20" t="str">
        <x:f>IF($B8="", "", ROUND(MAX(30, MIN(99, IFERROR((AM8-MIN($AM$2:$AM$101))/(MAX($AM$2:$AM$101)-MIN($AM$2:$AM$101))*99,30))),0))</x:f>
      </x:c>
      <x:c r="R8" s="20" t="str">
        <x:f>IF($B8="", "", ROUND(MAX(30, MIN(99, IFERROR((AN8-MIN($AN$2:$AN$101))/(MAX($AN$2:$AN$101)-MIN($AN$2:$AN$101))*99,30))),0))</x:f>
      </x:c>
      <x:c r="S8" s="20" t="str">
        <x:f>IF($B8="", "", ROUND(MAX(30, MIN(99, IFERROR((AO8-MIN($AO$2:$AO$101))/(MAX($AO$2:$AO$101)-MIN($AO$2:$AO$101))*99,30))),0))</x:f>
      </x:c>
      <x:c r="T8" s="20" t="str">
        <x:f>IF($B8="", "", ROUND(MAX(30, MIN(99, IFERROR((AP8-MIN($AP$2:$AP$101))/(MAX($AP$2:$AP$101)-MIN($AP$2:$AP$101))*99,30))),0))</x:f>
      </x:c>
      <x:c r="U8" s="20" t="str">
        <x:f>IF($B8="", "", ROUND(MAX(30, MIN(99, IFERROR((AQ8-MIN($AQ$2:$AQ$101))/(MAX($AQ$2:$AQ$101)-MIN($AQ$2:$AQ$101))*99,30))),0))</x:f>
      </x:c>
      <x:c r="V8" s="20" t="str">
        <x:f>IF($B8="", "", ROUND(MAX(30, MIN(99, IFERROR((AR8-MIN($AR$2:$AR$101))/(MAX($AR$2:$AR$101)-MIN($AR$2:$AR$101))*99,30))),0))</x:f>
      </x:c>
      <x:c r="W8" s="20" t="str">
        <x:f>IF($B8="", "", ROUND(MAX(30, MIN(99, IFERROR((AS8-MIN($AS$2:$AS$101))/(MAX($AS$2:$AS$101)-MIN($AS$2:$AS$101))*99,30))),0))</x:f>
      </x:c>
      <x:c r="X8" s="20" t="str">
        <x:f>IF($B8="", "", ROUND(MAX(30, MIN(99, IFERROR((AT8-MIN($AT$2:$AT$101))/(MAX($AT$2:$AT$101)-MIN($AT$2:$AT$101))*99,30))),0))</x:f>
      </x:c>
      <x:c r="Y8" s="20" t="str">
        <x:f>IF($B8="","",ROUND(AVERAGE(I8:X8),0))</x:f>
      </x:c>
      <x:c r="Z8" s="20" t="str">
        <x:f>IF($B8="","",ROUND(MAX(30,MIN(99,IFS(ISNUMBER(SEARCH("PG",UPPER(SUBSTITUTE($C8,"/","-")))),84,ISNUMBER(SEARCH("SG",UPPER(SUBSTITUTE($C8,"/","-")))),76,ISNUMBER(SEARCH("SF",UPPER(SUBSTITUTE($C8,"/","-")))),68,ISNUMBER(SEARCH("PF",UPPER(SUBSTITUTE($C8,"/","-")))),55,ISNUMBER(SEARCH("C",UPPER(SUBSTITUTE($C8,"/","-")))),42,TRUE,65)+((195-IFERROR($D8,195))*0.15)+((95-IFERROR($E8,95))*0.08))),0))</x:f>
      </x:c>
      <x:c r="AA8" s="20" t="str">
        <x:f>IF($B8="","",ROUND(MAX(30,MIN(99,IFS(ISNUMBER(SEARCH("PG",UPPER(SUBSTITUTE($C8,"/","-")))),84,ISNUMBER(SEARCH("SG",UPPER(SUBSTITUTE($C8,"/","-")))),76,ISNUMBER(SEARCH("SF",UPPER(SUBSTITUTE($C8,"/","-")))),68,ISNUMBER(SEARCH("PF",UPPER(SUBSTITUTE($C8,"/","-")))),55,ISNUMBER(SEARCH("C",UPPER(SUBSTITUTE($C8,"/","-")))),42,TRUE,65)+((195-IFERROR($D8,195))*0.18)+((95-IFERROR($E8,95))*0.10))),0))</x:f>
      </x:c>
      <x:c r="AB8" s="20" t="str">
        <x:f>IF($B8="","",ROUND(MAX(30,MIN(99,IFS(ISNUMBER(SEARCH("PG",UPPER(SUBSTITUTE($C8,"/","-")))),84,ISNUMBER(SEARCH("SG",UPPER(SUBSTITUTE($C8,"/","-")))),76,ISNUMBER(SEARCH("SF",UPPER(SUBSTITUTE($C8,"/","-")))),68,ISNUMBER(SEARCH("PF",UPPER(SUBSTITUTE($C8,"/","-")))),55,ISNUMBER(SEARCH("C",UPPER(SUBSTITUTE($C8,"/","-")))),42,TRUE,65)+2+((195-IFERROR($D8,195))*0.14)+((95-IFERROR($E8,95))*0.09))),0))</x:f>
      </x:c>
      <x:c r="AC8" s="20" t="str">
        <x:f>IF($B8="","",ROUND(MAX(30,MIN(99,IFS(ISNUMBER(SEARCH("C",UPPER(SUBSTITUTE($C8,"/","-")))),92,ISNUMBER(SEARCH("PF",UPPER(SUBSTITUTE($C8,"/","-")))),82,ISNUMBER(SEARCH("SF",UPPER(SUBSTITUTE($C8,"/","-")))),64,ISNUMBER(SEARCH("SG",UPPER(SUBSTITUTE($C8,"/","-")))),48,ISNUMBER(SEARCH("PG",UPPER(SUBSTITUTE($C8,"/","-")))),36,TRUE,60)+((IFERROR($E8,95)-95)*0.45)+((IFERROR($D8,195)-195)*0.10)+((IFERROR($F8,200)-200)*0.08))),0))</x:f>
      </x:c>
      <x:c r="AD8" s="20" t="str">
        <x:f>IF($B8="","",ROUND(MAX(30,MIN(99,65+((IFERROR($F8,200)-200)*0.22)+((IFERROR($D8,195)-195)*0.08)-((IFERROR($E8,95)-95)*0.07))),0))</x:f>
      </x:c>
      <x:c r="AE8" s="15" t="n">
        <x:f>IFERROR(='입력데이터'!S8,0)*0.4+IFERROR(='입력데이터'!AP8,0)*0.4+IFERROR(='입력데이터'!AO8,0)*0.5</x:f>
        <x:v>0</x:v>
      </x:c>
      <x:c r="AF8" s="15" t="n">
        <x:f>IFERROR(='입력데이터'!S8,0)*0.5+IFERROR(='입력데이터'!P8,0)*0.8+IFERROR(='입력데이터'!AG8,0)</x:f>
        <x:v>0</x:v>
      </x:c>
      <x:c r="AG8" s="15" t="n">
        <x:f>IFERROR(='입력데이터'!AJ8,0)*8+IFERROR(IFERROR(='입력데이터'!AJ8,0)/IFERROR(='입력데이터'!AK8,0),0)*30</x:f>
        <x:v>0</x:v>
      </x:c>
      <x:c r="AH8" s="15" t="n">
        <x:f>IFERROR(='입력데이터'!AJ8,0)*6+IFERROR(='입력데이터'!AH8,0)*4</x:f>
        <x:v>0</x:v>
      </x:c>
      <x:c r="AI8" s="15" t="n">
        <x:f>IFERROR(='입력데이터'!AP8,0)*0.4+IFERROR(='입력데이터'!AE8,0)*1.5+IFERROR(='입력데이터'!Q8,0)*1.5</x:f>
        <x:v>0</x:v>
      </x:c>
      <x:c r="AJ8" s="15" t="n">
        <x:f>MAX(0,IFERROR(='입력데이터'!P8,0)-IFERROR(='입력데이터'!Q8,0)*2-IFERROR(='입력데이터'!T8,0)*3-IFERROR(='입력데이터'!Z8,0))*1.5+IFERROR(='입력데이터'!Y8,0)*0.3</x:f>
        <x:v>0</x:v>
      </x:c>
      <x:c r="AK8" s="15" t="n">
        <x:f>IFERROR(='입력데이터'!V8,0)*0.6+IFERROR(='입력데이터'!U8,0)*2+IFERROR(='입력데이터'!T8,0)*3</x:f>
        <x:v>0</x:v>
      </x:c>
      <x:c r="AL8" s="15" t="n">
        <x:f>IFERROR(='입력데이터'!AB8,0)*0.7+IFERROR(='입력데이터'!AA8,0)*1.5</x:f>
        <x:v>0</x:v>
      </x:c>
      <x:c r="AM8" s="15" t="n">
        <x:f>IFERROR(='입력데이터'!AF8,0)*5+IFERROR(IFERROR(='입력데이터'!AF8,0)/IFERROR(='입력데이터'!AL8,0),0)*3+IFERROR(='입력데이터'!AT8,0)</x:f>
        <x:v>0</x:v>
      </x:c>
      <x:c r="AN8" s="15" t="n">
        <x:f>IFERROR(='입력데이터'!AF8,0)*3+IFERROR(='입력데이터'!AG8,0)*3+IFERROR(IFERROR(='입력데이터'!AF8,0)/IFERROR(='입력데이터'!AL8,0),0)*4</x:f>
        <x:v>0</x:v>
      </x:c>
      <x:c r="AO8" s="15" t="n">
        <x:f>IFERROR(='입력데이터'!AG8,0)*12+IFERROR(='입력데이터'!AU8,0)*6</x:f>
        <x:v>0</x:v>
      </x:c>
      <x:c r="AP8" s="15" t="n">
        <x:f>IFERROR(='입력데이터'!AH8,0)*14+IFERROR(='입력데이터'!AD8,0)</x:f>
        <x:v>0</x:v>
      </x:c>
      <x:c r="AQ8" s="15" t="n">
        <x:f>IFERROR(='입력데이터'!AC8,0)*10</x:f>
        <x:v>0</x:v>
      </x:c>
      <x:c r="AR8" s="15" t="n">
        <x:f>IFERROR(='입력데이터'!AD8,0)*7+IFERROR(='입력데이터'!AH8,0)*2</x:f>
        <x:v>0</x:v>
      </x:c>
      <x:c r="AS8" s="15" t="n">
        <x:f>IFERROR(='입력데이터'!AH8,0)*8+IFERROR(='입력데이터'!AD8,0)*2+IFERROR(='입력데이터'!AI8,0)*4</x:f>
        <x:v>0</x:v>
      </x:c>
      <x:c r="AT8" s="16" t="n">
        <x:f>IFERROR(='입력데이터'!AG8,0)*8+IFERROR(='입력데이터'!AI8,0)*5+IFERROR(='입력데이터'!AU8,0)*4</x:f>
        <x:v>0</x:v>
      </x:c>
    </x:row>
    <x:row r="9">
      <x:c r="A9" s="14" t="str">
        <x:f>IF('입력데이터'!$B9="","",'입력데이터'!A9)</x:f>
      </x:c>
      <x:c r="B9" s="15" t="str">
        <x:f>IF('입력데이터'!$B9="","",'입력데이터'!B9)</x:f>
      </x:c>
      <x:c r="C9" s="15" t="str">
        <x:f>IF('입력데이터'!$B9="","",'입력데이터'!K9)</x:f>
      </x:c>
      <x:c r="D9" s="15" t="str">
        <x:f>IF('입력데이터'!$B9="","",'입력데이터'!H9)</x:f>
      </x:c>
      <x:c r="E9" s="15" t="str">
        <x:f>IF('입력데이터'!$B9="","",'입력데이터'!I9)</x:f>
      </x:c>
      <x:c r="F9" s="15" t="str">
        <x:f>IF('입력데이터'!$B9="","",'입력데이터'!J9)</x:f>
      </x:c>
      <x:c r="G9" s="15" t="str">
        <x:f>IF('입력데이터'!$B9="","",'입력데이터'!L9)</x:f>
      </x:c>
      <x:c r="H9" s="15" t="str">
        <x:f>IF('입력데이터'!$B9="","",'입력데이터'!O9)</x:f>
      </x:c>
      <x:c r="I9" s="20" t="str">
        <x:f>IF($B9="", "", ROUND(MAX(30, MIN(99, IFERROR((AE9-MIN($AE$2:$AE$101))/(MAX($AE$2:$AE$101)-MIN($AE$2:$AE$101))*99,30))),0))</x:f>
      </x:c>
      <x:c r="J9" s="20" t="str">
        <x:f>IF($B9="", "", ROUND(MAX(30, MIN(99, IFERROR((AF9-MIN($AF$2:$AF$101))/(MAX($AF$2:$AF$101)-MIN($AF$2:$AF$101))*99,30))),0))</x:f>
      </x:c>
      <x:c r="K9" s="20" t="str">
        <x:f>IF($B9="", "", ROUND(MAX(30, MIN(99, IFERROR((AG9-MIN($AG$2:$AG$101))/(MAX($AG$2:$AG$101)-MIN($AG$2:$AG$101))*99,30))),0))</x:f>
      </x:c>
      <x:c r="L9" s="20" t="str">
        <x:f>IF($B9="", "", ROUND(MAX(30, MIN(99, IFERROR((AH9-MIN($AH$2:$AH$101))/(MAX($AH$2:$AH$101)-MIN($AH$2:$AH$101))*99,30))),0))</x:f>
      </x:c>
      <x:c r="M9" s="20" t="str">
        <x:f>IF($B9="", "", ROUND(MAX(30, MIN(99, IFERROR((AI9-MIN($AI$2:$AI$101))/(MAX($AI$2:$AI$101)-MIN($AI$2:$AI$101))*99,30))),0))</x:f>
      </x:c>
      <x:c r="N9" s="20" t="str">
        <x:f>IF($B9="", "", ROUND(MAX(30, MIN(99, IFERROR((AJ9-MIN($AJ$2:$AJ$101))/(MAX($AJ$2:$AJ$101)-MIN($AJ$2:$AJ$101))*99,30))),0))</x:f>
      </x:c>
      <x:c r="O9" s="20" t="str">
        <x:f>IF($B9="", "", ROUND(MAX(30, MIN(99, IFERROR((AK9-MIN($AK$2:$AK$101))/(MAX($AK$2:$AK$101)-MIN($AK$2:$AK$101))*99,30))),0))</x:f>
      </x:c>
      <x:c r="P9" s="20" t="str">
        <x:f>IF($B9="", "", ROUND(MAX(30, MIN(99, IFERROR((AL9-MIN($AL$2:$AL$101))/(MAX($AL$2:$AL$101)-MIN($AL$2:$AL$101))*99,30))),0))</x:f>
      </x:c>
      <x:c r="Q9" s="20" t="str">
        <x:f>IF($B9="", "", ROUND(MAX(30, MIN(99, IFERROR((AM9-MIN($AM$2:$AM$101))/(MAX($AM$2:$AM$101)-MIN($AM$2:$AM$101))*99,30))),0))</x:f>
      </x:c>
      <x:c r="R9" s="20" t="str">
        <x:f>IF($B9="", "", ROUND(MAX(30, MIN(99, IFERROR((AN9-MIN($AN$2:$AN$101))/(MAX($AN$2:$AN$101)-MIN($AN$2:$AN$101))*99,30))),0))</x:f>
      </x:c>
      <x:c r="S9" s="20" t="str">
        <x:f>IF($B9="", "", ROUND(MAX(30, MIN(99, IFERROR((AO9-MIN($AO$2:$AO$101))/(MAX($AO$2:$AO$101)-MIN($AO$2:$AO$101))*99,30))),0))</x:f>
      </x:c>
      <x:c r="T9" s="20" t="str">
        <x:f>IF($B9="", "", ROUND(MAX(30, MIN(99, IFERROR((AP9-MIN($AP$2:$AP$101))/(MAX($AP$2:$AP$101)-MIN($AP$2:$AP$101))*99,30))),0))</x:f>
      </x:c>
      <x:c r="U9" s="20" t="str">
        <x:f>IF($B9="", "", ROUND(MAX(30, MIN(99, IFERROR((AQ9-MIN($AQ$2:$AQ$101))/(MAX($AQ$2:$AQ$101)-MIN($AQ$2:$AQ$101))*99,30))),0))</x:f>
      </x:c>
      <x:c r="V9" s="20" t="str">
        <x:f>IF($B9="", "", ROUND(MAX(30, MIN(99, IFERROR((AR9-MIN($AR$2:$AR$101))/(MAX($AR$2:$AR$101)-MIN($AR$2:$AR$101))*99,30))),0))</x:f>
      </x:c>
      <x:c r="W9" s="20" t="str">
        <x:f>IF($B9="", "", ROUND(MAX(30, MIN(99, IFERROR((AS9-MIN($AS$2:$AS$101))/(MAX($AS$2:$AS$101)-MIN($AS$2:$AS$101))*99,30))),0))</x:f>
      </x:c>
      <x:c r="X9" s="20" t="str">
        <x:f>IF($B9="", "", ROUND(MAX(30, MIN(99, IFERROR((AT9-MIN($AT$2:$AT$101))/(MAX($AT$2:$AT$101)-MIN($AT$2:$AT$101))*99,30))),0))</x:f>
      </x:c>
      <x:c r="Y9" s="20" t="str">
        <x:f>IF($B9="","",ROUND(AVERAGE(I9:X9),0))</x:f>
      </x:c>
      <x:c r="Z9" s="20" t="str">
        <x:f>IF($B9="","",ROUND(MAX(30,MIN(99,IFS(ISNUMBER(SEARCH("PG",UPPER(SUBSTITUTE($C9,"/","-")))),84,ISNUMBER(SEARCH("SG",UPPER(SUBSTITUTE($C9,"/","-")))),76,ISNUMBER(SEARCH("SF",UPPER(SUBSTITUTE($C9,"/","-")))),68,ISNUMBER(SEARCH("PF",UPPER(SUBSTITUTE($C9,"/","-")))),55,ISNUMBER(SEARCH("C",UPPER(SUBSTITUTE($C9,"/","-")))),42,TRUE,65)+((195-IFERROR($D9,195))*0.15)+((95-IFERROR($E9,95))*0.08))),0))</x:f>
      </x:c>
      <x:c r="AA9" s="20" t="str">
        <x:f>IF($B9="","",ROUND(MAX(30,MIN(99,IFS(ISNUMBER(SEARCH("PG",UPPER(SUBSTITUTE($C9,"/","-")))),84,ISNUMBER(SEARCH("SG",UPPER(SUBSTITUTE($C9,"/","-")))),76,ISNUMBER(SEARCH("SF",UPPER(SUBSTITUTE($C9,"/","-")))),68,ISNUMBER(SEARCH("PF",UPPER(SUBSTITUTE($C9,"/","-")))),55,ISNUMBER(SEARCH("C",UPPER(SUBSTITUTE($C9,"/","-")))),42,TRUE,65)+((195-IFERROR($D9,195))*0.18)+((95-IFERROR($E9,95))*0.10))),0))</x:f>
      </x:c>
      <x:c r="AB9" s="20" t="str">
        <x:f>IF($B9="","",ROUND(MAX(30,MIN(99,IFS(ISNUMBER(SEARCH("PG",UPPER(SUBSTITUTE($C9,"/","-")))),84,ISNUMBER(SEARCH("SG",UPPER(SUBSTITUTE($C9,"/","-")))),76,ISNUMBER(SEARCH("SF",UPPER(SUBSTITUTE($C9,"/","-")))),68,ISNUMBER(SEARCH("PF",UPPER(SUBSTITUTE($C9,"/","-")))),55,ISNUMBER(SEARCH("C",UPPER(SUBSTITUTE($C9,"/","-")))),42,TRUE,65)+2+((195-IFERROR($D9,195))*0.14)+((95-IFERROR($E9,95))*0.09))),0))</x:f>
      </x:c>
      <x:c r="AC9" s="20" t="str">
        <x:f>IF($B9="","",ROUND(MAX(30,MIN(99,IFS(ISNUMBER(SEARCH("C",UPPER(SUBSTITUTE($C9,"/","-")))),92,ISNUMBER(SEARCH("PF",UPPER(SUBSTITUTE($C9,"/","-")))),82,ISNUMBER(SEARCH("SF",UPPER(SUBSTITUTE($C9,"/","-")))),64,ISNUMBER(SEARCH("SG",UPPER(SUBSTITUTE($C9,"/","-")))),48,ISNUMBER(SEARCH("PG",UPPER(SUBSTITUTE($C9,"/","-")))),36,TRUE,60)+((IFERROR($E9,95)-95)*0.45)+((IFERROR($D9,195)-195)*0.10)+((IFERROR($F9,200)-200)*0.08))),0))</x:f>
      </x:c>
      <x:c r="AD9" s="20" t="str">
        <x:f>IF($B9="","",ROUND(MAX(30,MIN(99,65+((IFERROR($F9,200)-200)*0.22)+((IFERROR($D9,195)-195)*0.08)-((IFERROR($E9,95)-95)*0.07))),0))</x:f>
      </x:c>
      <x:c r="AE9" s="15" t="n">
        <x:f>IFERROR(='입력데이터'!S9,0)*0.4+IFERROR(='입력데이터'!AP9,0)*0.4+IFERROR(='입력데이터'!AO9,0)*0.5</x:f>
        <x:v>0</x:v>
      </x:c>
      <x:c r="AF9" s="15" t="n">
        <x:f>IFERROR(='입력데이터'!S9,0)*0.5+IFERROR(='입력데이터'!P9,0)*0.8+IFERROR(='입력데이터'!AG9,0)</x:f>
        <x:v>0</x:v>
      </x:c>
      <x:c r="AG9" s="15" t="n">
        <x:f>IFERROR(='입력데이터'!AJ9,0)*8+IFERROR(IFERROR(='입력데이터'!AJ9,0)/IFERROR(='입력데이터'!AK9,0),0)*30</x:f>
        <x:v>0</x:v>
      </x:c>
      <x:c r="AH9" s="15" t="n">
        <x:f>IFERROR(='입력데이터'!AJ9,0)*6+IFERROR(='입력데이터'!AH9,0)*4</x:f>
        <x:v>0</x:v>
      </x:c>
      <x:c r="AI9" s="15" t="n">
        <x:f>IFERROR(='입력데이터'!AP9,0)*0.4+IFERROR(='입력데이터'!AE9,0)*1.5+IFERROR(='입력데이터'!Q9,0)*1.5</x:f>
        <x:v>0</x:v>
      </x:c>
      <x:c r="AJ9" s="15" t="n">
        <x:f>MAX(0,IFERROR(='입력데이터'!P9,0)-IFERROR(='입력데이터'!Q9,0)*2-IFERROR(='입력데이터'!T9,0)*3-IFERROR(='입력데이터'!Z9,0))*1.5+IFERROR(='입력데이터'!Y9,0)*0.3</x:f>
        <x:v>0</x:v>
      </x:c>
      <x:c r="AK9" s="15" t="n">
        <x:f>IFERROR(='입력데이터'!V9,0)*0.6+IFERROR(='입력데이터'!U9,0)*2+IFERROR(='입력데이터'!T9,0)*3</x:f>
        <x:v>0</x:v>
      </x:c>
      <x:c r="AL9" s="15" t="n">
        <x:f>IFERROR(='입력데이터'!AB9,0)*0.7+IFERROR(='입력데이터'!AA9,0)*1.5</x:f>
        <x:v>0</x:v>
      </x:c>
      <x:c r="AM9" s="15" t="n">
        <x:f>IFERROR(='입력데이터'!AF9,0)*5+IFERROR(IFERROR(='입력데이터'!AF9,0)/IFERROR(='입력데이터'!AL9,0),0)*3+IFERROR(='입력데이터'!AT9,0)</x:f>
        <x:v>0</x:v>
      </x:c>
      <x:c r="AN9" s="15" t="n">
        <x:f>IFERROR(='입력데이터'!AF9,0)*3+IFERROR(='입력데이터'!AG9,0)*3+IFERROR(IFERROR(='입력데이터'!AF9,0)/IFERROR(='입력데이터'!AL9,0),0)*4</x:f>
        <x:v>0</x:v>
      </x:c>
      <x:c r="AO9" s="15" t="n">
        <x:f>IFERROR(='입력데이터'!AG9,0)*12+IFERROR(='입력데이터'!AU9,0)*6</x:f>
        <x:v>0</x:v>
      </x:c>
      <x:c r="AP9" s="15" t="n">
        <x:f>IFERROR(='입력데이터'!AH9,0)*14+IFERROR(='입력데이터'!AD9,0)</x:f>
        <x:v>0</x:v>
      </x:c>
      <x:c r="AQ9" s="15" t="n">
        <x:f>IFERROR(='입력데이터'!AC9,0)*10</x:f>
        <x:v>0</x:v>
      </x:c>
      <x:c r="AR9" s="15" t="n">
        <x:f>IFERROR(='입력데이터'!AD9,0)*7+IFERROR(='입력데이터'!AH9,0)*2</x:f>
        <x:v>0</x:v>
      </x:c>
      <x:c r="AS9" s="15" t="n">
        <x:f>IFERROR(='입력데이터'!AH9,0)*8+IFERROR(='입력데이터'!AD9,0)*2+IFERROR(='입력데이터'!AI9,0)*4</x:f>
        <x:v>0</x:v>
      </x:c>
      <x:c r="AT9" s="16" t="n">
        <x:f>IFERROR(='입력데이터'!AG9,0)*8+IFERROR(='입력데이터'!AI9,0)*5+IFERROR(='입력데이터'!AU9,0)*4</x:f>
        <x:v>0</x:v>
      </x:c>
    </x:row>
    <x:row r="10">
      <x:c r="A10" s="14" t="str">
        <x:f>IF('입력데이터'!$B10="","",'입력데이터'!A10)</x:f>
      </x:c>
      <x:c r="B10" s="15" t="str">
        <x:f>IF('입력데이터'!$B10="","",'입력데이터'!B10)</x:f>
      </x:c>
      <x:c r="C10" s="15" t="str">
        <x:f>IF('입력데이터'!$B10="","",'입력데이터'!K10)</x:f>
      </x:c>
      <x:c r="D10" s="15" t="str">
        <x:f>IF('입력데이터'!$B10="","",'입력데이터'!H10)</x:f>
      </x:c>
      <x:c r="E10" s="15" t="str">
        <x:f>IF('입력데이터'!$B10="","",'입력데이터'!I10)</x:f>
      </x:c>
      <x:c r="F10" s="15" t="str">
        <x:f>IF('입력데이터'!$B10="","",'입력데이터'!J10)</x:f>
      </x:c>
      <x:c r="G10" s="15" t="str">
        <x:f>IF('입력데이터'!$B10="","",'입력데이터'!L10)</x:f>
      </x:c>
      <x:c r="H10" s="15" t="str">
        <x:f>IF('입력데이터'!$B10="","",'입력데이터'!O10)</x:f>
      </x:c>
      <x:c r="I10" s="20" t="str">
        <x:f>IF($B10="", "", ROUND(MAX(30, MIN(99, IFERROR((AE10-MIN($AE$2:$AE$101))/(MAX($AE$2:$AE$101)-MIN($AE$2:$AE$101))*99,30))),0))</x:f>
      </x:c>
      <x:c r="J10" s="20" t="str">
        <x:f>IF($B10="", "", ROUND(MAX(30, MIN(99, IFERROR((AF10-MIN($AF$2:$AF$101))/(MAX($AF$2:$AF$101)-MIN($AF$2:$AF$101))*99,30))),0))</x:f>
      </x:c>
      <x:c r="K10" s="20" t="str">
        <x:f>IF($B10="", "", ROUND(MAX(30, MIN(99, IFERROR((AG10-MIN($AG$2:$AG$101))/(MAX($AG$2:$AG$101)-MIN($AG$2:$AG$101))*99,30))),0))</x:f>
      </x:c>
      <x:c r="L10" s="20" t="str">
        <x:f>IF($B10="", "", ROUND(MAX(30, MIN(99, IFERROR((AH10-MIN($AH$2:$AH$101))/(MAX($AH$2:$AH$101)-MIN($AH$2:$AH$101))*99,30))),0))</x:f>
      </x:c>
      <x:c r="M10" s="20" t="str">
        <x:f>IF($B10="", "", ROUND(MAX(30, MIN(99, IFERROR((AI10-MIN($AI$2:$AI$101))/(MAX($AI$2:$AI$101)-MIN($AI$2:$AI$101))*99,30))),0))</x:f>
      </x:c>
      <x:c r="N10" s="20" t="str">
        <x:f>IF($B10="", "", ROUND(MAX(30, MIN(99, IFERROR((AJ10-MIN($AJ$2:$AJ$101))/(MAX($AJ$2:$AJ$101)-MIN($AJ$2:$AJ$101))*99,30))),0))</x:f>
      </x:c>
      <x:c r="O10" s="20" t="str">
        <x:f>IF($B10="", "", ROUND(MAX(30, MIN(99, IFERROR((AK10-MIN($AK$2:$AK$101))/(MAX($AK$2:$AK$101)-MIN($AK$2:$AK$101))*99,30))),0))</x:f>
      </x:c>
      <x:c r="P10" s="20" t="str">
        <x:f>IF($B10="", "", ROUND(MAX(30, MIN(99, IFERROR((AL10-MIN($AL$2:$AL$101))/(MAX($AL$2:$AL$101)-MIN($AL$2:$AL$101))*99,30))),0))</x:f>
      </x:c>
      <x:c r="Q10" s="20" t="str">
        <x:f>IF($B10="", "", ROUND(MAX(30, MIN(99, IFERROR((AM10-MIN($AM$2:$AM$101))/(MAX($AM$2:$AM$101)-MIN($AM$2:$AM$101))*99,30))),0))</x:f>
      </x:c>
      <x:c r="R10" s="20" t="str">
        <x:f>IF($B10="", "", ROUND(MAX(30, MIN(99, IFERROR((AN10-MIN($AN$2:$AN$101))/(MAX($AN$2:$AN$101)-MIN($AN$2:$AN$101))*99,30))),0))</x:f>
      </x:c>
      <x:c r="S10" s="20" t="str">
        <x:f>IF($B10="", "", ROUND(MAX(30, MIN(99, IFERROR((AO10-MIN($AO$2:$AO$101))/(MAX($AO$2:$AO$101)-MIN($AO$2:$AO$101))*99,30))),0))</x:f>
      </x:c>
      <x:c r="T10" s="20" t="str">
        <x:f>IF($B10="", "", ROUND(MAX(30, MIN(99, IFERROR((AP10-MIN($AP$2:$AP$101))/(MAX($AP$2:$AP$101)-MIN($AP$2:$AP$101))*99,30))),0))</x:f>
      </x:c>
      <x:c r="U10" s="20" t="str">
        <x:f>IF($B10="", "", ROUND(MAX(30, MIN(99, IFERROR((AQ10-MIN($AQ$2:$AQ$101))/(MAX($AQ$2:$AQ$101)-MIN($AQ$2:$AQ$101))*99,30))),0))</x:f>
      </x:c>
      <x:c r="V10" s="20" t="str">
        <x:f>IF($B10="", "", ROUND(MAX(30, MIN(99, IFERROR((AR10-MIN($AR$2:$AR$101))/(MAX($AR$2:$AR$101)-MIN($AR$2:$AR$101))*99,30))),0))</x:f>
      </x:c>
      <x:c r="W10" s="20" t="str">
        <x:f>IF($B10="", "", ROUND(MAX(30, MIN(99, IFERROR((AS10-MIN($AS$2:$AS$101))/(MAX($AS$2:$AS$101)-MIN($AS$2:$AS$101))*99,30))),0))</x:f>
      </x:c>
      <x:c r="X10" s="20" t="str">
        <x:f>IF($B10="", "", ROUND(MAX(30, MIN(99, IFERROR((AT10-MIN($AT$2:$AT$101))/(MAX($AT$2:$AT$101)-MIN($AT$2:$AT$101))*99,30))),0))</x:f>
      </x:c>
      <x:c r="Y10" s="20" t="str">
        <x:f>IF($B10="","",ROUND(AVERAGE(I10:X10),0))</x:f>
      </x:c>
      <x:c r="Z10" s="20" t="str">
        <x:f>IF($B10="","",ROUND(MAX(30,MIN(99,IFS(ISNUMBER(SEARCH("PG",UPPER(SUBSTITUTE($C10,"/","-")))),84,ISNUMBER(SEARCH("SG",UPPER(SUBSTITUTE($C10,"/","-")))),76,ISNUMBER(SEARCH("SF",UPPER(SUBSTITUTE($C10,"/","-")))),68,ISNUMBER(SEARCH("PF",UPPER(SUBSTITUTE($C10,"/","-")))),55,ISNUMBER(SEARCH("C",UPPER(SUBSTITUTE($C10,"/","-")))),42,TRUE,65)+((195-IFERROR($D10,195))*0.15)+((95-IFERROR($E10,95))*0.08))),0))</x:f>
      </x:c>
      <x:c r="AA10" s="20" t="str">
        <x:f>IF($B10="","",ROUND(MAX(30,MIN(99,IFS(ISNUMBER(SEARCH("PG",UPPER(SUBSTITUTE($C10,"/","-")))),84,ISNUMBER(SEARCH("SG",UPPER(SUBSTITUTE($C10,"/","-")))),76,ISNUMBER(SEARCH("SF",UPPER(SUBSTITUTE($C10,"/","-")))),68,ISNUMBER(SEARCH("PF",UPPER(SUBSTITUTE($C10,"/","-")))),55,ISNUMBER(SEARCH("C",UPPER(SUBSTITUTE($C10,"/","-")))),42,TRUE,65)+((195-IFERROR($D10,195))*0.18)+((95-IFERROR($E10,95))*0.10))),0))</x:f>
      </x:c>
      <x:c r="AB10" s="20" t="str">
        <x:f>IF($B10="","",ROUND(MAX(30,MIN(99,IFS(ISNUMBER(SEARCH("PG",UPPER(SUBSTITUTE($C10,"/","-")))),84,ISNUMBER(SEARCH("SG",UPPER(SUBSTITUTE($C10,"/","-")))),76,ISNUMBER(SEARCH("SF",UPPER(SUBSTITUTE($C10,"/","-")))),68,ISNUMBER(SEARCH("PF",UPPER(SUBSTITUTE($C10,"/","-")))),55,ISNUMBER(SEARCH("C",UPPER(SUBSTITUTE($C10,"/","-")))),42,TRUE,65)+2+((195-IFERROR($D10,195))*0.14)+((95-IFERROR($E10,95))*0.09))),0))</x:f>
      </x:c>
      <x:c r="AC10" s="20" t="str">
        <x:f>IF($B10="","",ROUND(MAX(30,MIN(99,IFS(ISNUMBER(SEARCH("C",UPPER(SUBSTITUTE($C10,"/","-")))),92,ISNUMBER(SEARCH("PF",UPPER(SUBSTITUTE($C10,"/","-")))),82,ISNUMBER(SEARCH("SF",UPPER(SUBSTITUTE($C10,"/","-")))),64,ISNUMBER(SEARCH("SG",UPPER(SUBSTITUTE($C10,"/","-")))),48,ISNUMBER(SEARCH("PG",UPPER(SUBSTITUTE($C10,"/","-")))),36,TRUE,60)+((IFERROR($E10,95)-95)*0.45)+((IFERROR($D10,195)-195)*0.10)+((IFERROR($F10,200)-200)*0.08))),0))</x:f>
      </x:c>
      <x:c r="AD10" s="20" t="str">
        <x:f>IF($B10="","",ROUND(MAX(30,MIN(99,65+((IFERROR($F10,200)-200)*0.22)+((IFERROR($D10,195)-195)*0.08)-((IFERROR($E10,95)-95)*0.07))),0))</x:f>
      </x:c>
      <x:c r="AE10" s="15" t="n">
        <x:f>IFERROR(='입력데이터'!S10,0)*0.4+IFERROR(='입력데이터'!AP10,0)*0.4+IFERROR(='입력데이터'!AO10,0)*0.5</x:f>
        <x:v>0</x:v>
      </x:c>
      <x:c r="AF10" s="15" t="n">
        <x:f>IFERROR(='입력데이터'!S10,0)*0.5+IFERROR(='입력데이터'!P10,0)*0.8+IFERROR(='입력데이터'!AG10,0)</x:f>
        <x:v>0</x:v>
      </x:c>
      <x:c r="AG10" s="15" t="n">
        <x:f>IFERROR(='입력데이터'!AJ10,0)*8+IFERROR(IFERROR(='입력데이터'!AJ10,0)/IFERROR(='입력데이터'!AK10,0),0)*30</x:f>
        <x:v>0</x:v>
      </x:c>
      <x:c r="AH10" s="15" t="n">
        <x:f>IFERROR(='입력데이터'!AJ10,0)*6+IFERROR(='입력데이터'!AH10,0)*4</x:f>
        <x:v>0</x:v>
      </x:c>
      <x:c r="AI10" s="15" t="n">
        <x:f>IFERROR(='입력데이터'!AP10,0)*0.4+IFERROR(='입력데이터'!AE10,0)*1.5+IFERROR(='입력데이터'!Q10,0)*1.5</x:f>
        <x:v>0</x:v>
      </x:c>
      <x:c r="AJ10" s="15" t="n">
        <x:f>MAX(0,IFERROR(='입력데이터'!P10,0)-IFERROR(='입력데이터'!Q10,0)*2-IFERROR(='입력데이터'!T10,0)*3-IFERROR(='입력데이터'!Z10,0))*1.5+IFERROR(='입력데이터'!Y10,0)*0.3</x:f>
        <x:v>0</x:v>
      </x:c>
      <x:c r="AK10" s="15" t="n">
        <x:f>IFERROR(='입력데이터'!V10,0)*0.6+IFERROR(='입력데이터'!U10,0)*2+IFERROR(='입력데이터'!T10,0)*3</x:f>
        <x:v>0</x:v>
      </x:c>
      <x:c r="AL10" s="15" t="n">
        <x:f>IFERROR(='입력데이터'!AB10,0)*0.7+IFERROR(='입력데이터'!AA10,0)*1.5</x:f>
        <x:v>0</x:v>
      </x:c>
      <x:c r="AM10" s="15" t="n">
        <x:f>IFERROR(='입력데이터'!AF10,0)*5+IFERROR(IFERROR(='입력데이터'!AF10,0)/IFERROR(='입력데이터'!AL10,0),0)*3+IFERROR(='입력데이터'!AT10,0)</x:f>
        <x:v>0</x:v>
      </x:c>
      <x:c r="AN10" s="15" t="n">
        <x:f>IFERROR(='입력데이터'!AF10,0)*3+IFERROR(='입력데이터'!AG10,0)*3+IFERROR(IFERROR(='입력데이터'!AF10,0)/IFERROR(='입력데이터'!AL10,0),0)*4</x:f>
        <x:v>0</x:v>
      </x:c>
      <x:c r="AO10" s="15" t="n">
        <x:f>IFERROR(='입력데이터'!AG10,0)*12+IFERROR(='입력데이터'!AU10,0)*6</x:f>
        <x:v>0</x:v>
      </x:c>
      <x:c r="AP10" s="15" t="n">
        <x:f>IFERROR(='입력데이터'!AH10,0)*14+IFERROR(='입력데이터'!AD10,0)</x:f>
        <x:v>0</x:v>
      </x:c>
      <x:c r="AQ10" s="15" t="n">
        <x:f>IFERROR(='입력데이터'!AC10,0)*10</x:f>
        <x:v>0</x:v>
      </x:c>
      <x:c r="AR10" s="15" t="n">
        <x:f>IFERROR(='입력데이터'!AD10,0)*7+IFERROR(='입력데이터'!AH10,0)*2</x:f>
        <x:v>0</x:v>
      </x:c>
      <x:c r="AS10" s="15" t="n">
        <x:f>IFERROR(='입력데이터'!AH10,0)*8+IFERROR(='입력데이터'!AD10,0)*2+IFERROR(='입력데이터'!AI10,0)*4</x:f>
        <x:v>0</x:v>
      </x:c>
      <x:c r="AT10" s="16" t="n">
        <x:f>IFERROR(='입력데이터'!AG10,0)*8+IFERROR(='입력데이터'!AI10,0)*5+IFERROR(='입력데이터'!AU10,0)*4</x:f>
        <x:v>0</x:v>
      </x:c>
    </x:row>
    <x:row r="11">
      <x:c r="A11" s="14" t="str">
        <x:f>IF('입력데이터'!$B11="","",'입력데이터'!A11)</x:f>
      </x:c>
      <x:c r="B11" s="15" t="str">
        <x:f>IF('입력데이터'!$B11="","",'입력데이터'!B11)</x:f>
      </x:c>
      <x:c r="C11" s="15" t="str">
        <x:f>IF('입력데이터'!$B11="","",'입력데이터'!K11)</x:f>
      </x:c>
      <x:c r="D11" s="15" t="str">
        <x:f>IF('입력데이터'!$B11="","",'입력데이터'!H11)</x:f>
      </x:c>
      <x:c r="E11" s="15" t="str">
        <x:f>IF('입력데이터'!$B11="","",'입력데이터'!I11)</x:f>
      </x:c>
      <x:c r="F11" s="15" t="str">
        <x:f>IF('입력데이터'!$B11="","",'입력데이터'!J11)</x:f>
      </x:c>
      <x:c r="G11" s="15" t="str">
        <x:f>IF('입력데이터'!$B11="","",'입력데이터'!L11)</x:f>
      </x:c>
      <x:c r="H11" s="15" t="str">
        <x:f>IF('입력데이터'!$B11="","",'입력데이터'!O11)</x:f>
      </x:c>
      <x:c r="I11" s="20" t="str">
        <x:f>IF($B11="", "", ROUND(MAX(30, MIN(99, IFERROR((AE11-MIN($AE$2:$AE$101))/(MAX($AE$2:$AE$101)-MIN($AE$2:$AE$101))*99,30))),0))</x:f>
      </x:c>
      <x:c r="J11" s="20" t="str">
        <x:f>IF($B11="", "", ROUND(MAX(30, MIN(99, IFERROR((AF11-MIN($AF$2:$AF$101))/(MAX($AF$2:$AF$101)-MIN($AF$2:$AF$101))*99,30))),0))</x:f>
      </x:c>
      <x:c r="K11" s="20" t="str">
        <x:f>IF($B11="", "", ROUND(MAX(30, MIN(99, IFERROR((AG11-MIN($AG$2:$AG$101))/(MAX($AG$2:$AG$101)-MIN($AG$2:$AG$101))*99,30))),0))</x:f>
      </x:c>
      <x:c r="L11" s="20" t="str">
        <x:f>IF($B11="", "", ROUND(MAX(30, MIN(99, IFERROR((AH11-MIN($AH$2:$AH$101))/(MAX($AH$2:$AH$101)-MIN($AH$2:$AH$101))*99,30))),0))</x:f>
      </x:c>
      <x:c r="M11" s="20" t="str">
        <x:f>IF($B11="", "", ROUND(MAX(30, MIN(99, IFERROR((AI11-MIN($AI$2:$AI$101))/(MAX($AI$2:$AI$101)-MIN($AI$2:$AI$101))*99,30))),0))</x:f>
      </x:c>
      <x:c r="N11" s="20" t="str">
        <x:f>IF($B11="", "", ROUND(MAX(30, MIN(99, IFERROR((AJ11-MIN($AJ$2:$AJ$101))/(MAX($AJ$2:$AJ$101)-MIN($AJ$2:$AJ$101))*99,30))),0))</x:f>
      </x:c>
      <x:c r="O11" s="20" t="str">
        <x:f>IF($B11="", "", ROUND(MAX(30, MIN(99, IFERROR((AK11-MIN($AK$2:$AK$101))/(MAX($AK$2:$AK$101)-MIN($AK$2:$AK$101))*99,30))),0))</x:f>
      </x:c>
      <x:c r="P11" s="20" t="str">
        <x:f>IF($B11="", "", ROUND(MAX(30, MIN(99, IFERROR((AL11-MIN($AL$2:$AL$101))/(MAX($AL$2:$AL$101)-MIN($AL$2:$AL$101))*99,30))),0))</x:f>
      </x:c>
      <x:c r="Q11" s="20" t="str">
        <x:f>IF($B11="", "", ROUND(MAX(30, MIN(99, IFERROR((AM11-MIN($AM$2:$AM$101))/(MAX($AM$2:$AM$101)-MIN($AM$2:$AM$101))*99,30))),0))</x:f>
      </x:c>
      <x:c r="R11" s="20" t="str">
        <x:f>IF($B11="", "", ROUND(MAX(30, MIN(99, IFERROR((AN11-MIN($AN$2:$AN$101))/(MAX($AN$2:$AN$101)-MIN($AN$2:$AN$101))*99,30))),0))</x:f>
      </x:c>
      <x:c r="S11" s="20" t="str">
        <x:f>IF($B11="", "", ROUND(MAX(30, MIN(99, IFERROR((AO11-MIN($AO$2:$AO$101))/(MAX($AO$2:$AO$101)-MIN($AO$2:$AO$101))*99,30))),0))</x:f>
      </x:c>
      <x:c r="T11" s="20" t="str">
        <x:f>IF($B11="", "", ROUND(MAX(30, MIN(99, IFERROR((AP11-MIN($AP$2:$AP$101))/(MAX($AP$2:$AP$101)-MIN($AP$2:$AP$101))*99,30))),0))</x:f>
      </x:c>
      <x:c r="U11" s="20" t="str">
        <x:f>IF($B11="", "", ROUND(MAX(30, MIN(99, IFERROR((AQ11-MIN($AQ$2:$AQ$101))/(MAX($AQ$2:$AQ$101)-MIN($AQ$2:$AQ$101))*99,30))),0))</x:f>
      </x:c>
      <x:c r="V11" s="20" t="str">
        <x:f>IF($B11="", "", ROUND(MAX(30, MIN(99, IFERROR((AR11-MIN($AR$2:$AR$101))/(MAX($AR$2:$AR$101)-MIN($AR$2:$AR$101))*99,30))),0))</x:f>
      </x:c>
      <x:c r="W11" s="20" t="str">
        <x:f>IF($B11="", "", ROUND(MAX(30, MIN(99, IFERROR((AS11-MIN($AS$2:$AS$101))/(MAX($AS$2:$AS$101)-MIN($AS$2:$AS$101))*99,30))),0))</x:f>
      </x:c>
      <x:c r="X11" s="20" t="str">
        <x:f>IF($B11="", "", ROUND(MAX(30, MIN(99, IFERROR((AT11-MIN($AT$2:$AT$101))/(MAX($AT$2:$AT$101)-MIN($AT$2:$AT$101))*99,30))),0))</x:f>
      </x:c>
      <x:c r="Y11" s="20" t="str">
        <x:f>IF($B11="","",ROUND(AVERAGE(I11:X11),0))</x:f>
      </x:c>
      <x:c r="Z11" s="20" t="str">
        <x:f>IF($B11="","",ROUND(MAX(30,MIN(99,IFS(ISNUMBER(SEARCH("PG",UPPER(SUBSTITUTE($C11,"/","-")))),84,ISNUMBER(SEARCH("SG",UPPER(SUBSTITUTE($C11,"/","-")))),76,ISNUMBER(SEARCH("SF",UPPER(SUBSTITUTE($C11,"/","-")))),68,ISNUMBER(SEARCH("PF",UPPER(SUBSTITUTE($C11,"/","-")))),55,ISNUMBER(SEARCH("C",UPPER(SUBSTITUTE($C11,"/","-")))),42,TRUE,65)+((195-IFERROR($D11,195))*0.15)+((95-IFERROR($E11,95))*0.08))),0))</x:f>
      </x:c>
      <x:c r="AA11" s="20" t="str">
        <x:f>IF($B11="","",ROUND(MAX(30,MIN(99,IFS(ISNUMBER(SEARCH("PG",UPPER(SUBSTITUTE($C11,"/","-")))),84,ISNUMBER(SEARCH("SG",UPPER(SUBSTITUTE($C11,"/","-")))),76,ISNUMBER(SEARCH("SF",UPPER(SUBSTITUTE($C11,"/","-")))),68,ISNUMBER(SEARCH("PF",UPPER(SUBSTITUTE($C11,"/","-")))),55,ISNUMBER(SEARCH("C",UPPER(SUBSTITUTE($C11,"/","-")))),42,TRUE,65)+((195-IFERROR($D11,195))*0.18)+((95-IFERROR($E11,95))*0.10))),0))</x:f>
      </x:c>
      <x:c r="AB11" s="20" t="str">
        <x:f>IF($B11="","",ROUND(MAX(30,MIN(99,IFS(ISNUMBER(SEARCH("PG",UPPER(SUBSTITUTE($C11,"/","-")))),84,ISNUMBER(SEARCH("SG",UPPER(SUBSTITUTE($C11,"/","-")))),76,ISNUMBER(SEARCH("SF",UPPER(SUBSTITUTE($C11,"/","-")))),68,ISNUMBER(SEARCH("PF",UPPER(SUBSTITUTE($C11,"/","-")))),55,ISNUMBER(SEARCH("C",UPPER(SUBSTITUTE($C11,"/","-")))),42,TRUE,65)+2+((195-IFERROR($D11,195))*0.14)+((95-IFERROR($E11,95))*0.09))),0))</x:f>
      </x:c>
      <x:c r="AC11" s="20" t="str">
        <x:f>IF($B11="","",ROUND(MAX(30,MIN(99,IFS(ISNUMBER(SEARCH("C",UPPER(SUBSTITUTE($C11,"/","-")))),92,ISNUMBER(SEARCH("PF",UPPER(SUBSTITUTE($C11,"/","-")))),82,ISNUMBER(SEARCH("SF",UPPER(SUBSTITUTE($C11,"/","-")))),64,ISNUMBER(SEARCH("SG",UPPER(SUBSTITUTE($C11,"/","-")))),48,ISNUMBER(SEARCH("PG",UPPER(SUBSTITUTE($C11,"/","-")))),36,TRUE,60)+((IFERROR($E11,95)-95)*0.45)+((IFERROR($D11,195)-195)*0.10)+((IFERROR($F11,200)-200)*0.08))),0))</x:f>
      </x:c>
      <x:c r="AD11" s="20" t="str">
        <x:f>IF($B11="","",ROUND(MAX(30,MIN(99,65+((IFERROR($F11,200)-200)*0.22)+((IFERROR($D11,195)-195)*0.08)-((IFERROR($E11,95)-95)*0.07))),0))</x:f>
      </x:c>
      <x:c r="AE11" s="15" t="n">
        <x:f>IFERROR(='입력데이터'!S11,0)*0.4+IFERROR(='입력데이터'!AP11,0)*0.4+IFERROR(='입력데이터'!AO11,0)*0.5</x:f>
        <x:v>0</x:v>
      </x:c>
      <x:c r="AF11" s="15" t="n">
        <x:f>IFERROR(='입력데이터'!S11,0)*0.5+IFERROR(='입력데이터'!P11,0)*0.8+IFERROR(='입력데이터'!AG11,0)</x:f>
        <x:v>0</x:v>
      </x:c>
      <x:c r="AG11" s="15" t="n">
        <x:f>IFERROR(='입력데이터'!AJ11,0)*8+IFERROR(IFERROR(='입력데이터'!AJ11,0)/IFERROR(='입력데이터'!AK11,0),0)*30</x:f>
        <x:v>0</x:v>
      </x:c>
      <x:c r="AH11" s="15" t="n">
        <x:f>IFERROR(='입력데이터'!AJ11,0)*6+IFERROR(='입력데이터'!AH11,0)*4</x:f>
        <x:v>0</x:v>
      </x:c>
      <x:c r="AI11" s="15" t="n">
        <x:f>IFERROR(='입력데이터'!AP11,0)*0.4+IFERROR(='입력데이터'!AE11,0)*1.5+IFERROR(='입력데이터'!Q11,0)*1.5</x:f>
        <x:v>0</x:v>
      </x:c>
      <x:c r="AJ11" s="15" t="n">
        <x:f>MAX(0,IFERROR(='입력데이터'!P11,0)-IFERROR(='입력데이터'!Q11,0)*2-IFERROR(='입력데이터'!T11,0)*3-IFERROR(='입력데이터'!Z11,0))*1.5+IFERROR(='입력데이터'!Y11,0)*0.3</x:f>
        <x:v>0</x:v>
      </x:c>
      <x:c r="AK11" s="15" t="n">
        <x:f>IFERROR(='입력데이터'!V11,0)*0.6+IFERROR(='입력데이터'!U11,0)*2+IFERROR(='입력데이터'!T11,0)*3</x:f>
        <x:v>0</x:v>
      </x:c>
      <x:c r="AL11" s="15" t="n">
        <x:f>IFERROR(='입력데이터'!AB11,0)*0.7+IFERROR(='입력데이터'!AA11,0)*1.5</x:f>
        <x:v>0</x:v>
      </x:c>
      <x:c r="AM11" s="15" t="n">
        <x:f>IFERROR(='입력데이터'!AF11,0)*5+IFERROR(IFERROR(='입력데이터'!AF11,0)/IFERROR(='입력데이터'!AL11,0),0)*3+IFERROR(='입력데이터'!AT11,0)</x:f>
        <x:v>0</x:v>
      </x:c>
      <x:c r="AN11" s="15" t="n">
        <x:f>IFERROR(='입력데이터'!AF11,0)*3+IFERROR(='입력데이터'!AG11,0)*3+IFERROR(IFERROR(='입력데이터'!AF11,0)/IFERROR(='입력데이터'!AL11,0),0)*4</x:f>
        <x:v>0</x:v>
      </x:c>
      <x:c r="AO11" s="15" t="n">
        <x:f>IFERROR(='입력데이터'!AG11,0)*12+IFERROR(='입력데이터'!AU11,0)*6</x:f>
        <x:v>0</x:v>
      </x:c>
      <x:c r="AP11" s="15" t="n">
        <x:f>IFERROR(='입력데이터'!AH11,0)*14+IFERROR(='입력데이터'!AD11,0)</x:f>
        <x:v>0</x:v>
      </x:c>
      <x:c r="AQ11" s="15" t="n">
        <x:f>IFERROR(='입력데이터'!AC11,0)*10</x:f>
        <x:v>0</x:v>
      </x:c>
      <x:c r="AR11" s="15" t="n">
        <x:f>IFERROR(='입력데이터'!AD11,0)*7+IFERROR(='입력데이터'!AH11,0)*2</x:f>
        <x:v>0</x:v>
      </x:c>
      <x:c r="AS11" s="15" t="n">
        <x:f>IFERROR(='입력데이터'!AH11,0)*8+IFERROR(='입력데이터'!AD11,0)*2+IFERROR(='입력데이터'!AI11,0)*4</x:f>
        <x:v>0</x:v>
      </x:c>
      <x:c r="AT11" s="16" t="n">
        <x:f>IFERROR(='입력데이터'!AG11,0)*8+IFERROR(='입력데이터'!AI11,0)*5+IFERROR(='입력데이터'!AU11,0)*4</x:f>
        <x:v>0</x:v>
      </x:c>
    </x:row>
    <x:row r="12">
      <x:c r="A12" s="14" t="str">
        <x:f>IF('입력데이터'!$B12="","",'입력데이터'!A12)</x:f>
      </x:c>
      <x:c r="B12" s="15" t="str">
        <x:f>IF('입력데이터'!$B12="","",'입력데이터'!B12)</x:f>
      </x:c>
      <x:c r="C12" s="15" t="str">
        <x:f>IF('입력데이터'!$B12="","",'입력데이터'!K12)</x:f>
      </x:c>
      <x:c r="D12" s="15" t="str">
        <x:f>IF('입력데이터'!$B12="","",'입력데이터'!H12)</x:f>
      </x:c>
      <x:c r="E12" s="15" t="str">
        <x:f>IF('입력데이터'!$B12="","",'입력데이터'!I12)</x:f>
      </x:c>
      <x:c r="F12" s="15" t="str">
        <x:f>IF('입력데이터'!$B12="","",'입력데이터'!J12)</x:f>
      </x:c>
      <x:c r="G12" s="15" t="str">
        <x:f>IF('입력데이터'!$B12="","",'입력데이터'!L12)</x:f>
      </x:c>
      <x:c r="H12" s="15" t="str">
        <x:f>IF('입력데이터'!$B12="","",'입력데이터'!O12)</x:f>
      </x:c>
      <x:c r="I12" s="20" t="str">
        <x:f>IF($B12="", "", ROUND(MAX(30, MIN(99, IFERROR((AE12-MIN($AE$2:$AE$101))/(MAX($AE$2:$AE$101)-MIN($AE$2:$AE$101))*99,30))),0))</x:f>
      </x:c>
      <x:c r="J12" s="20" t="str">
        <x:f>IF($B12="", "", ROUND(MAX(30, MIN(99, IFERROR((AF12-MIN($AF$2:$AF$101))/(MAX($AF$2:$AF$101)-MIN($AF$2:$AF$101))*99,30))),0))</x:f>
      </x:c>
      <x:c r="K12" s="20" t="str">
        <x:f>IF($B12="", "", ROUND(MAX(30, MIN(99, IFERROR((AG12-MIN($AG$2:$AG$101))/(MAX($AG$2:$AG$101)-MIN($AG$2:$AG$101))*99,30))),0))</x:f>
      </x:c>
      <x:c r="L12" s="20" t="str">
        <x:f>IF($B12="", "", ROUND(MAX(30, MIN(99, IFERROR((AH12-MIN($AH$2:$AH$101))/(MAX($AH$2:$AH$101)-MIN($AH$2:$AH$101))*99,30))),0))</x:f>
      </x:c>
      <x:c r="M12" s="20" t="str">
        <x:f>IF($B12="", "", ROUND(MAX(30, MIN(99, IFERROR((AI12-MIN($AI$2:$AI$101))/(MAX($AI$2:$AI$101)-MIN($AI$2:$AI$101))*99,30))),0))</x:f>
      </x:c>
      <x:c r="N12" s="20" t="str">
        <x:f>IF($B12="", "", ROUND(MAX(30, MIN(99, IFERROR((AJ12-MIN($AJ$2:$AJ$101))/(MAX($AJ$2:$AJ$101)-MIN($AJ$2:$AJ$101))*99,30))),0))</x:f>
      </x:c>
      <x:c r="O12" s="20" t="str">
        <x:f>IF($B12="", "", ROUND(MAX(30, MIN(99, IFERROR((AK12-MIN($AK$2:$AK$101))/(MAX($AK$2:$AK$101)-MIN($AK$2:$AK$101))*99,30))),0))</x:f>
      </x:c>
      <x:c r="P12" s="20" t="str">
        <x:f>IF($B12="", "", ROUND(MAX(30, MIN(99, IFERROR((AL12-MIN($AL$2:$AL$101))/(MAX($AL$2:$AL$101)-MIN($AL$2:$AL$101))*99,30))),0))</x:f>
      </x:c>
      <x:c r="Q12" s="20" t="str">
        <x:f>IF($B12="", "", ROUND(MAX(30, MIN(99, IFERROR((AM12-MIN($AM$2:$AM$101))/(MAX($AM$2:$AM$101)-MIN($AM$2:$AM$101))*99,30))),0))</x:f>
      </x:c>
      <x:c r="R12" s="20" t="str">
        <x:f>IF($B12="", "", ROUND(MAX(30, MIN(99, IFERROR((AN12-MIN($AN$2:$AN$101))/(MAX($AN$2:$AN$101)-MIN($AN$2:$AN$101))*99,30))),0))</x:f>
      </x:c>
      <x:c r="S12" s="20" t="str">
        <x:f>IF($B12="", "", ROUND(MAX(30, MIN(99, IFERROR((AO12-MIN($AO$2:$AO$101))/(MAX($AO$2:$AO$101)-MIN($AO$2:$AO$101))*99,30))),0))</x:f>
      </x:c>
      <x:c r="T12" s="20" t="str">
        <x:f>IF($B12="", "", ROUND(MAX(30, MIN(99, IFERROR((AP12-MIN($AP$2:$AP$101))/(MAX($AP$2:$AP$101)-MIN($AP$2:$AP$101))*99,30))),0))</x:f>
      </x:c>
      <x:c r="U12" s="20" t="str">
        <x:f>IF($B12="", "", ROUND(MAX(30, MIN(99, IFERROR((AQ12-MIN($AQ$2:$AQ$101))/(MAX($AQ$2:$AQ$101)-MIN($AQ$2:$AQ$101))*99,30))),0))</x:f>
      </x:c>
      <x:c r="V12" s="20" t="str">
        <x:f>IF($B12="", "", ROUND(MAX(30, MIN(99, IFERROR((AR12-MIN($AR$2:$AR$101))/(MAX($AR$2:$AR$101)-MIN($AR$2:$AR$101))*99,30))),0))</x:f>
      </x:c>
      <x:c r="W12" s="20" t="str">
        <x:f>IF($B12="", "", ROUND(MAX(30, MIN(99, IFERROR((AS12-MIN($AS$2:$AS$101))/(MAX($AS$2:$AS$101)-MIN($AS$2:$AS$101))*99,30))),0))</x:f>
      </x:c>
      <x:c r="X12" s="20" t="str">
        <x:f>IF($B12="", "", ROUND(MAX(30, MIN(99, IFERROR((AT12-MIN($AT$2:$AT$101))/(MAX($AT$2:$AT$101)-MIN($AT$2:$AT$101))*99,30))),0))</x:f>
      </x:c>
      <x:c r="Y12" s="20" t="str">
        <x:f>IF($B12="","",ROUND(AVERAGE(I12:X12),0))</x:f>
      </x:c>
      <x:c r="Z12" s="20" t="str">
        <x:f>IF($B12="","",ROUND(MAX(30,MIN(99,IFS(ISNUMBER(SEARCH("PG",UPPER(SUBSTITUTE($C12,"/","-")))),84,ISNUMBER(SEARCH("SG",UPPER(SUBSTITUTE($C12,"/","-")))),76,ISNUMBER(SEARCH("SF",UPPER(SUBSTITUTE($C12,"/","-")))),68,ISNUMBER(SEARCH("PF",UPPER(SUBSTITUTE($C12,"/","-")))),55,ISNUMBER(SEARCH("C",UPPER(SUBSTITUTE($C12,"/","-")))),42,TRUE,65)+((195-IFERROR($D12,195))*0.15)+((95-IFERROR($E12,95))*0.08))),0))</x:f>
      </x:c>
      <x:c r="AA12" s="20" t="str">
        <x:f>IF($B12="","",ROUND(MAX(30,MIN(99,IFS(ISNUMBER(SEARCH("PG",UPPER(SUBSTITUTE($C12,"/","-")))),84,ISNUMBER(SEARCH("SG",UPPER(SUBSTITUTE($C12,"/","-")))),76,ISNUMBER(SEARCH("SF",UPPER(SUBSTITUTE($C12,"/","-")))),68,ISNUMBER(SEARCH("PF",UPPER(SUBSTITUTE($C12,"/","-")))),55,ISNUMBER(SEARCH("C",UPPER(SUBSTITUTE($C12,"/","-")))),42,TRUE,65)+((195-IFERROR($D12,195))*0.18)+((95-IFERROR($E12,95))*0.10))),0))</x:f>
      </x:c>
      <x:c r="AB12" s="20" t="str">
        <x:f>IF($B12="","",ROUND(MAX(30,MIN(99,IFS(ISNUMBER(SEARCH("PG",UPPER(SUBSTITUTE($C12,"/","-")))),84,ISNUMBER(SEARCH("SG",UPPER(SUBSTITUTE($C12,"/","-")))),76,ISNUMBER(SEARCH("SF",UPPER(SUBSTITUTE($C12,"/","-")))),68,ISNUMBER(SEARCH("PF",UPPER(SUBSTITUTE($C12,"/","-")))),55,ISNUMBER(SEARCH("C",UPPER(SUBSTITUTE($C12,"/","-")))),42,TRUE,65)+2+((195-IFERROR($D12,195))*0.14)+((95-IFERROR($E12,95))*0.09))),0))</x:f>
      </x:c>
      <x:c r="AC12" s="20" t="str">
        <x:f>IF($B12="","",ROUND(MAX(30,MIN(99,IFS(ISNUMBER(SEARCH("C",UPPER(SUBSTITUTE($C12,"/","-")))),92,ISNUMBER(SEARCH("PF",UPPER(SUBSTITUTE($C12,"/","-")))),82,ISNUMBER(SEARCH("SF",UPPER(SUBSTITUTE($C12,"/","-")))),64,ISNUMBER(SEARCH("SG",UPPER(SUBSTITUTE($C12,"/","-")))),48,ISNUMBER(SEARCH("PG",UPPER(SUBSTITUTE($C12,"/","-")))),36,TRUE,60)+((IFERROR($E12,95)-95)*0.45)+((IFERROR($D12,195)-195)*0.10)+((IFERROR($F12,200)-200)*0.08))),0))</x:f>
      </x:c>
      <x:c r="AD12" s="20" t="str">
        <x:f>IF($B12="","",ROUND(MAX(30,MIN(99,65+((IFERROR($F12,200)-200)*0.22)+((IFERROR($D12,195)-195)*0.08)-((IFERROR($E12,95)-95)*0.07))),0))</x:f>
      </x:c>
      <x:c r="AE12" s="15" t="n">
        <x:f>IFERROR(='입력데이터'!S12,0)*0.4+IFERROR(='입력데이터'!AP12,0)*0.4+IFERROR(='입력데이터'!AO12,0)*0.5</x:f>
        <x:v>0</x:v>
      </x:c>
      <x:c r="AF12" s="15" t="n">
        <x:f>IFERROR(='입력데이터'!S12,0)*0.5+IFERROR(='입력데이터'!P12,0)*0.8+IFERROR(='입력데이터'!AG12,0)</x:f>
        <x:v>0</x:v>
      </x:c>
      <x:c r="AG12" s="15" t="n">
        <x:f>IFERROR(='입력데이터'!AJ12,0)*8+IFERROR(IFERROR(='입력데이터'!AJ12,0)/IFERROR(='입력데이터'!AK12,0),0)*30</x:f>
        <x:v>0</x:v>
      </x:c>
      <x:c r="AH12" s="15" t="n">
        <x:f>IFERROR(='입력데이터'!AJ12,0)*6+IFERROR(='입력데이터'!AH12,0)*4</x:f>
        <x:v>0</x:v>
      </x:c>
      <x:c r="AI12" s="15" t="n">
        <x:f>IFERROR(='입력데이터'!AP12,0)*0.4+IFERROR(='입력데이터'!AE12,0)*1.5+IFERROR(='입력데이터'!Q12,0)*1.5</x:f>
        <x:v>0</x:v>
      </x:c>
      <x:c r="AJ12" s="15" t="n">
        <x:f>MAX(0,IFERROR(='입력데이터'!P12,0)-IFERROR(='입력데이터'!Q12,0)*2-IFERROR(='입력데이터'!T12,0)*3-IFERROR(='입력데이터'!Z12,0))*1.5+IFERROR(='입력데이터'!Y12,0)*0.3</x:f>
        <x:v>0</x:v>
      </x:c>
      <x:c r="AK12" s="15" t="n">
        <x:f>IFERROR(='입력데이터'!V12,0)*0.6+IFERROR(='입력데이터'!U12,0)*2+IFERROR(='입력데이터'!T12,0)*3</x:f>
        <x:v>0</x:v>
      </x:c>
      <x:c r="AL12" s="15" t="n">
        <x:f>IFERROR(='입력데이터'!AB12,0)*0.7+IFERROR(='입력데이터'!AA12,0)*1.5</x:f>
        <x:v>0</x:v>
      </x:c>
      <x:c r="AM12" s="15" t="n">
        <x:f>IFERROR(='입력데이터'!AF12,0)*5+IFERROR(IFERROR(='입력데이터'!AF12,0)/IFERROR(='입력데이터'!AL12,0),0)*3+IFERROR(='입력데이터'!AT12,0)</x:f>
        <x:v>0</x:v>
      </x:c>
      <x:c r="AN12" s="15" t="n">
        <x:f>IFERROR(='입력데이터'!AF12,0)*3+IFERROR(='입력데이터'!AG12,0)*3+IFERROR(IFERROR(='입력데이터'!AF12,0)/IFERROR(='입력데이터'!AL12,0),0)*4</x:f>
        <x:v>0</x:v>
      </x:c>
      <x:c r="AO12" s="15" t="n">
        <x:f>IFERROR(='입력데이터'!AG12,0)*12+IFERROR(='입력데이터'!AU12,0)*6</x:f>
        <x:v>0</x:v>
      </x:c>
      <x:c r="AP12" s="15" t="n">
        <x:f>IFERROR(='입력데이터'!AH12,0)*14+IFERROR(='입력데이터'!AD12,0)</x:f>
        <x:v>0</x:v>
      </x:c>
      <x:c r="AQ12" s="15" t="n">
        <x:f>IFERROR(='입력데이터'!AC12,0)*10</x:f>
        <x:v>0</x:v>
      </x:c>
      <x:c r="AR12" s="15" t="n">
        <x:f>IFERROR(='입력데이터'!AD12,0)*7+IFERROR(='입력데이터'!AH12,0)*2</x:f>
        <x:v>0</x:v>
      </x:c>
      <x:c r="AS12" s="15" t="n">
        <x:f>IFERROR(='입력데이터'!AH12,0)*8+IFERROR(='입력데이터'!AD12,0)*2+IFERROR(='입력데이터'!AI12,0)*4</x:f>
        <x:v>0</x:v>
      </x:c>
      <x:c r="AT12" s="16" t="n">
        <x:f>IFERROR(='입력데이터'!AG12,0)*8+IFERROR(='입력데이터'!AI12,0)*5+IFERROR(='입력데이터'!AU12,0)*4</x:f>
        <x:v>0</x:v>
      </x:c>
    </x:row>
    <x:row r="13">
      <x:c r="A13" s="14" t="str">
        <x:f>IF('입력데이터'!$B13="","",'입력데이터'!A13)</x:f>
      </x:c>
      <x:c r="B13" s="15" t="str">
        <x:f>IF('입력데이터'!$B13="","",'입력데이터'!B13)</x:f>
      </x:c>
      <x:c r="C13" s="15" t="str">
        <x:f>IF('입력데이터'!$B13="","",'입력데이터'!K13)</x:f>
      </x:c>
      <x:c r="D13" s="15" t="str">
        <x:f>IF('입력데이터'!$B13="","",'입력데이터'!H13)</x:f>
      </x:c>
      <x:c r="E13" s="15" t="str">
        <x:f>IF('입력데이터'!$B13="","",'입력데이터'!I13)</x:f>
      </x:c>
      <x:c r="F13" s="15" t="str">
        <x:f>IF('입력데이터'!$B13="","",'입력데이터'!J13)</x:f>
      </x:c>
      <x:c r="G13" s="15" t="str">
        <x:f>IF('입력데이터'!$B13="","",'입력데이터'!L13)</x:f>
      </x:c>
      <x:c r="H13" s="15" t="str">
        <x:f>IF('입력데이터'!$B13="","",'입력데이터'!O13)</x:f>
      </x:c>
      <x:c r="I13" s="20" t="str">
        <x:f>IF($B13="", "", ROUND(MAX(30, MIN(99, IFERROR((AE13-MIN($AE$2:$AE$101))/(MAX($AE$2:$AE$101)-MIN($AE$2:$AE$101))*99,30))),0))</x:f>
      </x:c>
      <x:c r="J13" s="20" t="str">
        <x:f>IF($B13="", "", ROUND(MAX(30, MIN(99, IFERROR((AF13-MIN($AF$2:$AF$101))/(MAX($AF$2:$AF$101)-MIN($AF$2:$AF$101))*99,30))),0))</x:f>
      </x:c>
      <x:c r="K13" s="20" t="str">
        <x:f>IF($B13="", "", ROUND(MAX(30, MIN(99, IFERROR((AG13-MIN($AG$2:$AG$101))/(MAX($AG$2:$AG$101)-MIN($AG$2:$AG$101))*99,30))),0))</x:f>
      </x:c>
      <x:c r="L13" s="20" t="str">
        <x:f>IF($B13="", "", ROUND(MAX(30, MIN(99, IFERROR((AH13-MIN($AH$2:$AH$101))/(MAX($AH$2:$AH$101)-MIN($AH$2:$AH$101))*99,30))),0))</x:f>
      </x:c>
      <x:c r="M13" s="20" t="str">
        <x:f>IF($B13="", "", ROUND(MAX(30, MIN(99, IFERROR((AI13-MIN($AI$2:$AI$101))/(MAX($AI$2:$AI$101)-MIN($AI$2:$AI$101))*99,30))),0))</x:f>
      </x:c>
      <x:c r="N13" s="20" t="str">
        <x:f>IF($B13="", "", ROUND(MAX(30, MIN(99, IFERROR((AJ13-MIN($AJ$2:$AJ$101))/(MAX($AJ$2:$AJ$101)-MIN($AJ$2:$AJ$101))*99,30))),0))</x:f>
      </x:c>
      <x:c r="O13" s="20" t="str">
        <x:f>IF($B13="", "", ROUND(MAX(30, MIN(99, IFERROR((AK13-MIN($AK$2:$AK$101))/(MAX($AK$2:$AK$101)-MIN($AK$2:$AK$101))*99,30))),0))</x:f>
      </x:c>
      <x:c r="P13" s="20" t="str">
        <x:f>IF($B13="", "", ROUND(MAX(30, MIN(99, IFERROR((AL13-MIN($AL$2:$AL$101))/(MAX($AL$2:$AL$101)-MIN($AL$2:$AL$101))*99,30))),0))</x:f>
      </x:c>
      <x:c r="Q13" s="20" t="str">
        <x:f>IF($B13="", "", ROUND(MAX(30, MIN(99, IFERROR((AM13-MIN($AM$2:$AM$101))/(MAX($AM$2:$AM$101)-MIN($AM$2:$AM$101))*99,30))),0))</x:f>
      </x:c>
      <x:c r="R13" s="20" t="str">
        <x:f>IF($B13="", "", ROUND(MAX(30, MIN(99, IFERROR((AN13-MIN($AN$2:$AN$101))/(MAX($AN$2:$AN$101)-MIN($AN$2:$AN$101))*99,30))),0))</x:f>
      </x:c>
      <x:c r="S13" s="20" t="str">
        <x:f>IF($B13="", "", ROUND(MAX(30, MIN(99, IFERROR((AO13-MIN($AO$2:$AO$101))/(MAX($AO$2:$AO$101)-MIN($AO$2:$AO$101))*99,30))),0))</x:f>
      </x:c>
      <x:c r="T13" s="20" t="str">
        <x:f>IF($B13="", "", ROUND(MAX(30, MIN(99, IFERROR((AP13-MIN($AP$2:$AP$101))/(MAX($AP$2:$AP$101)-MIN($AP$2:$AP$101))*99,30))),0))</x:f>
      </x:c>
      <x:c r="U13" s="20" t="str">
        <x:f>IF($B13="", "", ROUND(MAX(30, MIN(99, IFERROR((AQ13-MIN($AQ$2:$AQ$101))/(MAX($AQ$2:$AQ$101)-MIN($AQ$2:$AQ$101))*99,30))),0))</x:f>
      </x:c>
      <x:c r="V13" s="20" t="str">
        <x:f>IF($B13="", "", ROUND(MAX(30, MIN(99, IFERROR((AR13-MIN($AR$2:$AR$101))/(MAX($AR$2:$AR$101)-MIN($AR$2:$AR$101))*99,30))),0))</x:f>
      </x:c>
      <x:c r="W13" s="20" t="str">
        <x:f>IF($B13="", "", ROUND(MAX(30, MIN(99, IFERROR((AS13-MIN($AS$2:$AS$101))/(MAX($AS$2:$AS$101)-MIN($AS$2:$AS$101))*99,30))),0))</x:f>
      </x:c>
      <x:c r="X13" s="20" t="str">
        <x:f>IF($B13="", "", ROUND(MAX(30, MIN(99, IFERROR((AT13-MIN($AT$2:$AT$101))/(MAX($AT$2:$AT$101)-MIN($AT$2:$AT$101))*99,30))),0))</x:f>
      </x:c>
      <x:c r="Y13" s="20" t="str">
        <x:f>IF($B13="","",ROUND(AVERAGE(I13:X13),0))</x:f>
      </x:c>
      <x:c r="Z13" s="20" t="str">
        <x:f>IF($B13="","",ROUND(MAX(30,MIN(99,IFS(ISNUMBER(SEARCH("PG",UPPER(SUBSTITUTE($C13,"/","-")))),84,ISNUMBER(SEARCH("SG",UPPER(SUBSTITUTE($C13,"/","-")))),76,ISNUMBER(SEARCH("SF",UPPER(SUBSTITUTE($C13,"/","-")))),68,ISNUMBER(SEARCH("PF",UPPER(SUBSTITUTE($C13,"/","-")))),55,ISNUMBER(SEARCH("C",UPPER(SUBSTITUTE($C13,"/","-")))),42,TRUE,65)+((195-IFERROR($D13,195))*0.15)+((95-IFERROR($E13,95))*0.08))),0))</x:f>
      </x:c>
      <x:c r="AA13" s="20" t="str">
        <x:f>IF($B13="","",ROUND(MAX(30,MIN(99,IFS(ISNUMBER(SEARCH("PG",UPPER(SUBSTITUTE($C13,"/","-")))),84,ISNUMBER(SEARCH("SG",UPPER(SUBSTITUTE($C13,"/","-")))),76,ISNUMBER(SEARCH("SF",UPPER(SUBSTITUTE($C13,"/","-")))),68,ISNUMBER(SEARCH("PF",UPPER(SUBSTITUTE($C13,"/","-")))),55,ISNUMBER(SEARCH("C",UPPER(SUBSTITUTE($C13,"/","-")))),42,TRUE,65)+((195-IFERROR($D13,195))*0.18)+((95-IFERROR($E13,95))*0.10))),0))</x:f>
      </x:c>
      <x:c r="AB13" s="20" t="str">
        <x:f>IF($B13="","",ROUND(MAX(30,MIN(99,IFS(ISNUMBER(SEARCH("PG",UPPER(SUBSTITUTE($C13,"/","-")))),84,ISNUMBER(SEARCH("SG",UPPER(SUBSTITUTE($C13,"/","-")))),76,ISNUMBER(SEARCH("SF",UPPER(SUBSTITUTE($C13,"/","-")))),68,ISNUMBER(SEARCH("PF",UPPER(SUBSTITUTE($C13,"/","-")))),55,ISNUMBER(SEARCH("C",UPPER(SUBSTITUTE($C13,"/","-")))),42,TRUE,65)+2+((195-IFERROR($D13,195))*0.14)+((95-IFERROR($E13,95))*0.09))),0))</x:f>
      </x:c>
      <x:c r="AC13" s="20" t="str">
        <x:f>IF($B13="","",ROUND(MAX(30,MIN(99,IFS(ISNUMBER(SEARCH("C",UPPER(SUBSTITUTE($C13,"/","-")))),92,ISNUMBER(SEARCH("PF",UPPER(SUBSTITUTE($C13,"/","-")))),82,ISNUMBER(SEARCH("SF",UPPER(SUBSTITUTE($C13,"/","-")))),64,ISNUMBER(SEARCH("SG",UPPER(SUBSTITUTE($C13,"/","-")))),48,ISNUMBER(SEARCH("PG",UPPER(SUBSTITUTE($C13,"/","-")))),36,TRUE,60)+((IFERROR($E13,95)-95)*0.45)+((IFERROR($D13,195)-195)*0.10)+((IFERROR($F13,200)-200)*0.08))),0))</x:f>
      </x:c>
      <x:c r="AD13" s="20" t="str">
        <x:f>IF($B13="","",ROUND(MAX(30,MIN(99,65+((IFERROR($F13,200)-200)*0.22)+((IFERROR($D13,195)-195)*0.08)-((IFERROR($E13,95)-95)*0.07))),0))</x:f>
      </x:c>
      <x:c r="AE13" s="15" t="n">
        <x:f>IFERROR(='입력데이터'!S13,0)*0.4+IFERROR(='입력데이터'!AP13,0)*0.4+IFERROR(='입력데이터'!AO13,0)*0.5</x:f>
        <x:v>0</x:v>
      </x:c>
      <x:c r="AF13" s="15" t="n">
        <x:f>IFERROR(='입력데이터'!S13,0)*0.5+IFERROR(='입력데이터'!P13,0)*0.8+IFERROR(='입력데이터'!AG13,0)</x:f>
        <x:v>0</x:v>
      </x:c>
      <x:c r="AG13" s="15" t="n">
        <x:f>IFERROR(='입력데이터'!AJ13,0)*8+IFERROR(IFERROR(='입력데이터'!AJ13,0)/IFERROR(='입력데이터'!AK13,0),0)*30</x:f>
        <x:v>0</x:v>
      </x:c>
      <x:c r="AH13" s="15" t="n">
        <x:f>IFERROR(='입력데이터'!AJ13,0)*6+IFERROR(='입력데이터'!AH13,0)*4</x:f>
        <x:v>0</x:v>
      </x:c>
      <x:c r="AI13" s="15" t="n">
        <x:f>IFERROR(='입력데이터'!AP13,0)*0.4+IFERROR(='입력데이터'!AE13,0)*1.5+IFERROR(='입력데이터'!Q13,0)*1.5</x:f>
        <x:v>0</x:v>
      </x:c>
      <x:c r="AJ13" s="15" t="n">
        <x:f>MAX(0,IFERROR(='입력데이터'!P13,0)-IFERROR(='입력데이터'!Q13,0)*2-IFERROR(='입력데이터'!T13,0)*3-IFERROR(='입력데이터'!Z13,0))*1.5+IFERROR(='입력데이터'!Y13,0)*0.3</x:f>
        <x:v>0</x:v>
      </x:c>
      <x:c r="AK13" s="15" t="n">
        <x:f>IFERROR(='입력데이터'!V13,0)*0.6+IFERROR(='입력데이터'!U13,0)*2+IFERROR(='입력데이터'!T13,0)*3</x:f>
        <x:v>0</x:v>
      </x:c>
      <x:c r="AL13" s="15" t="n">
        <x:f>IFERROR(='입력데이터'!AB13,0)*0.7+IFERROR(='입력데이터'!AA13,0)*1.5</x:f>
        <x:v>0</x:v>
      </x:c>
      <x:c r="AM13" s="15" t="n">
        <x:f>IFERROR(='입력데이터'!AF13,0)*5+IFERROR(IFERROR(='입력데이터'!AF13,0)/IFERROR(='입력데이터'!AL13,0),0)*3+IFERROR(='입력데이터'!AT13,0)</x:f>
        <x:v>0</x:v>
      </x:c>
      <x:c r="AN13" s="15" t="n">
        <x:f>IFERROR(='입력데이터'!AF13,0)*3+IFERROR(='입력데이터'!AG13,0)*3+IFERROR(IFERROR(='입력데이터'!AF13,0)/IFERROR(='입력데이터'!AL13,0),0)*4</x:f>
        <x:v>0</x:v>
      </x:c>
      <x:c r="AO13" s="15" t="n">
        <x:f>IFERROR(='입력데이터'!AG13,0)*12+IFERROR(='입력데이터'!AU13,0)*6</x:f>
        <x:v>0</x:v>
      </x:c>
      <x:c r="AP13" s="15" t="n">
        <x:f>IFERROR(='입력데이터'!AH13,0)*14+IFERROR(='입력데이터'!AD13,0)</x:f>
        <x:v>0</x:v>
      </x:c>
      <x:c r="AQ13" s="15" t="n">
        <x:f>IFERROR(='입력데이터'!AC13,0)*10</x:f>
        <x:v>0</x:v>
      </x:c>
      <x:c r="AR13" s="15" t="n">
        <x:f>IFERROR(='입력데이터'!AD13,0)*7+IFERROR(='입력데이터'!AH13,0)*2</x:f>
        <x:v>0</x:v>
      </x:c>
      <x:c r="AS13" s="15" t="n">
        <x:f>IFERROR(='입력데이터'!AH13,0)*8+IFERROR(='입력데이터'!AD13,0)*2+IFERROR(='입력데이터'!AI13,0)*4</x:f>
        <x:v>0</x:v>
      </x:c>
      <x:c r="AT13" s="16" t="n">
        <x:f>IFERROR(='입력데이터'!AG13,0)*8+IFERROR(='입력데이터'!AI13,0)*5+IFERROR(='입력데이터'!AU13,0)*4</x:f>
        <x:v>0</x:v>
      </x:c>
    </x:row>
    <x:row r="14">
      <x:c r="A14" s="14" t="str">
        <x:f>IF('입력데이터'!$B14="","",'입력데이터'!A14)</x:f>
      </x:c>
      <x:c r="B14" s="15" t="str">
        <x:f>IF('입력데이터'!$B14="","",'입력데이터'!B14)</x:f>
      </x:c>
      <x:c r="C14" s="15" t="str">
        <x:f>IF('입력데이터'!$B14="","",'입력데이터'!K14)</x:f>
      </x:c>
      <x:c r="D14" s="15" t="str">
        <x:f>IF('입력데이터'!$B14="","",'입력데이터'!H14)</x:f>
      </x:c>
      <x:c r="E14" s="15" t="str">
        <x:f>IF('입력데이터'!$B14="","",'입력데이터'!I14)</x:f>
      </x:c>
      <x:c r="F14" s="15" t="str">
        <x:f>IF('입력데이터'!$B14="","",'입력데이터'!J14)</x:f>
      </x:c>
      <x:c r="G14" s="15" t="str">
        <x:f>IF('입력데이터'!$B14="","",'입력데이터'!L14)</x:f>
      </x:c>
      <x:c r="H14" s="15" t="str">
        <x:f>IF('입력데이터'!$B14="","",'입력데이터'!O14)</x:f>
      </x:c>
      <x:c r="I14" s="20" t="str">
        <x:f>IF($B14="", "", ROUND(MAX(30, MIN(99, IFERROR((AE14-MIN($AE$2:$AE$101))/(MAX($AE$2:$AE$101)-MIN($AE$2:$AE$101))*99,30))),0))</x:f>
      </x:c>
      <x:c r="J14" s="20" t="str">
        <x:f>IF($B14="", "", ROUND(MAX(30, MIN(99, IFERROR((AF14-MIN($AF$2:$AF$101))/(MAX($AF$2:$AF$101)-MIN($AF$2:$AF$101))*99,30))),0))</x:f>
      </x:c>
      <x:c r="K14" s="20" t="str">
        <x:f>IF($B14="", "", ROUND(MAX(30, MIN(99, IFERROR((AG14-MIN($AG$2:$AG$101))/(MAX($AG$2:$AG$101)-MIN($AG$2:$AG$101))*99,30))),0))</x:f>
      </x:c>
      <x:c r="L14" s="20" t="str">
        <x:f>IF($B14="", "", ROUND(MAX(30, MIN(99, IFERROR((AH14-MIN($AH$2:$AH$101))/(MAX($AH$2:$AH$101)-MIN($AH$2:$AH$101))*99,30))),0))</x:f>
      </x:c>
      <x:c r="M14" s="20" t="str">
        <x:f>IF($B14="", "", ROUND(MAX(30, MIN(99, IFERROR((AI14-MIN($AI$2:$AI$101))/(MAX($AI$2:$AI$101)-MIN($AI$2:$AI$101))*99,30))),0))</x:f>
      </x:c>
      <x:c r="N14" s="20" t="str">
        <x:f>IF($B14="", "", ROUND(MAX(30, MIN(99, IFERROR((AJ14-MIN($AJ$2:$AJ$101))/(MAX($AJ$2:$AJ$101)-MIN($AJ$2:$AJ$101))*99,30))),0))</x:f>
      </x:c>
      <x:c r="O14" s="20" t="str">
        <x:f>IF($B14="", "", ROUND(MAX(30, MIN(99, IFERROR((AK14-MIN($AK$2:$AK$101))/(MAX($AK$2:$AK$101)-MIN($AK$2:$AK$101))*99,30))),0))</x:f>
      </x:c>
      <x:c r="P14" s="20" t="str">
        <x:f>IF($B14="", "", ROUND(MAX(30, MIN(99, IFERROR((AL14-MIN($AL$2:$AL$101))/(MAX($AL$2:$AL$101)-MIN($AL$2:$AL$101))*99,30))),0))</x:f>
      </x:c>
      <x:c r="Q14" s="20" t="str">
        <x:f>IF($B14="", "", ROUND(MAX(30, MIN(99, IFERROR((AM14-MIN($AM$2:$AM$101))/(MAX($AM$2:$AM$101)-MIN($AM$2:$AM$101))*99,30))),0))</x:f>
      </x:c>
      <x:c r="R14" s="20" t="str">
        <x:f>IF($B14="", "", ROUND(MAX(30, MIN(99, IFERROR((AN14-MIN($AN$2:$AN$101))/(MAX($AN$2:$AN$101)-MIN($AN$2:$AN$101))*99,30))),0))</x:f>
      </x:c>
      <x:c r="S14" s="20" t="str">
        <x:f>IF($B14="", "", ROUND(MAX(30, MIN(99, IFERROR((AO14-MIN($AO$2:$AO$101))/(MAX($AO$2:$AO$101)-MIN($AO$2:$AO$101))*99,30))),0))</x:f>
      </x:c>
      <x:c r="T14" s="20" t="str">
        <x:f>IF($B14="", "", ROUND(MAX(30, MIN(99, IFERROR((AP14-MIN($AP$2:$AP$101))/(MAX($AP$2:$AP$101)-MIN($AP$2:$AP$101))*99,30))),0))</x:f>
      </x:c>
      <x:c r="U14" s="20" t="str">
        <x:f>IF($B14="", "", ROUND(MAX(30, MIN(99, IFERROR((AQ14-MIN($AQ$2:$AQ$101))/(MAX($AQ$2:$AQ$101)-MIN($AQ$2:$AQ$101))*99,30))),0))</x:f>
      </x:c>
      <x:c r="V14" s="20" t="str">
        <x:f>IF($B14="", "", ROUND(MAX(30, MIN(99, IFERROR((AR14-MIN($AR$2:$AR$101))/(MAX($AR$2:$AR$101)-MIN($AR$2:$AR$101))*99,30))),0))</x:f>
      </x:c>
      <x:c r="W14" s="20" t="str">
        <x:f>IF($B14="", "", ROUND(MAX(30, MIN(99, IFERROR((AS14-MIN($AS$2:$AS$101))/(MAX($AS$2:$AS$101)-MIN($AS$2:$AS$101))*99,30))),0))</x:f>
      </x:c>
      <x:c r="X14" s="20" t="str">
        <x:f>IF($B14="", "", ROUND(MAX(30, MIN(99, IFERROR((AT14-MIN($AT$2:$AT$101))/(MAX($AT$2:$AT$101)-MIN($AT$2:$AT$101))*99,30))),0))</x:f>
      </x:c>
      <x:c r="Y14" s="20" t="str">
        <x:f>IF($B14="","",ROUND(AVERAGE(I14:X14),0))</x:f>
      </x:c>
      <x:c r="Z14" s="20" t="str">
        <x:f>IF($B14="","",ROUND(MAX(30,MIN(99,IFS(ISNUMBER(SEARCH("PG",UPPER(SUBSTITUTE($C14,"/","-")))),84,ISNUMBER(SEARCH("SG",UPPER(SUBSTITUTE($C14,"/","-")))),76,ISNUMBER(SEARCH("SF",UPPER(SUBSTITUTE($C14,"/","-")))),68,ISNUMBER(SEARCH("PF",UPPER(SUBSTITUTE($C14,"/","-")))),55,ISNUMBER(SEARCH("C",UPPER(SUBSTITUTE($C14,"/","-")))),42,TRUE,65)+((195-IFERROR($D14,195))*0.15)+((95-IFERROR($E14,95))*0.08))),0))</x:f>
      </x:c>
      <x:c r="AA14" s="20" t="str">
        <x:f>IF($B14="","",ROUND(MAX(30,MIN(99,IFS(ISNUMBER(SEARCH("PG",UPPER(SUBSTITUTE($C14,"/","-")))),84,ISNUMBER(SEARCH("SG",UPPER(SUBSTITUTE($C14,"/","-")))),76,ISNUMBER(SEARCH("SF",UPPER(SUBSTITUTE($C14,"/","-")))),68,ISNUMBER(SEARCH("PF",UPPER(SUBSTITUTE($C14,"/","-")))),55,ISNUMBER(SEARCH("C",UPPER(SUBSTITUTE($C14,"/","-")))),42,TRUE,65)+((195-IFERROR($D14,195))*0.18)+((95-IFERROR($E14,95))*0.10))),0))</x:f>
      </x:c>
      <x:c r="AB14" s="20" t="str">
        <x:f>IF($B14="","",ROUND(MAX(30,MIN(99,IFS(ISNUMBER(SEARCH("PG",UPPER(SUBSTITUTE($C14,"/","-")))),84,ISNUMBER(SEARCH("SG",UPPER(SUBSTITUTE($C14,"/","-")))),76,ISNUMBER(SEARCH("SF",UPPER(SUBSTITUTE($C14,"/","-")))),68,ISNUMBER(SEARCH("PF",UPPER(SUBSTITUTE($C14,"/","-")))),55,ISNUMBER(SEARCH("C",UPPER(SUBSTITUTE($C14,"/","-")))),42,TRUE,65)+2+((195-IFERROR($D14,195))*0.14)+((95-IFERROR($E14,95))*0.09))),0))</x:f>
      </x:c>
      <x:c r="AC14" s="20" t="str">
        <x:f>IF($B14="","",ROUND(MAX(30,MIN(99,IFS(ISNUMBER(SEARCH("C",UPPER(SUBSTITUTE($C14,"/","-")))),92,ISNUMBER(SEARCH("PF",UPPER(SUBSTITUTE($C14,"/","-")))),82,ISNUMBER(SEARCH("SF",UPPER(SUBSTITUTE($C14,"/","-")))),64,ISNUMBER(SEARCH("SG",UPPER(SUBSTITUTE($C14,"/","-")))),48,ISNUMBER(SEARCH("PG",UPPER(SUBSTITUTE($C14,"/","-")))),36,TRUE,60)+((IFERROR($E14,95)-95)*0.45)+((IFERROR($D14,195)-195)*0.10)+((IFERROR($F14,200)-200)*0.08))),0))</x:f>
      </x:c>
      <x:c r="AD14" s="20" t="str">
        <x:f>IF($B14="","",ROUND(MAX(30,MIN(99,65+((IFERROR($F14,200)-200)*0.22)+((IFERROR($D14,195)-195)*0.08)-((IFERROR($E14,95)-95)*0.07))),0))</x:f>
      </x:c>
      <x:c r="AE14" s="15" t="n">
        <x:f>IFERROR(='입력데이터'!S14,0)*0.4+IFERROR(='입력데이터'!AP14,0)*0.4+IFERROR(='입력데이터'!AO14,0)*0.5</x:f>
        <x:v>0</x:v>
      </x:c>
      <x:c r="AF14" s="15" t="n">
        <x:f>IFERROR(='입력데이터'!S14,0)*0.5+IFERROR(='입력데이터'!P14,0)*0.8+IFERROR(='입력데이터'!AG14,0)</x:f>
        <x:v>0</x:v>
      </x:c>
      <x:c r="AG14" s="15" t="n">
        <x:f>IFERROR(='입력데이터'!AJ14,0)*8+IFERROR(IFERROR(='입력데이터'!AJ14,0)/IFERROR(='입력데이터'!AK14,0),0)*30</x:f>
        <x:v>0</x:v>
      </x:c>
      <x:c r="AH14" s="15" t="n">
        <x:f>IFERROR(='입력데이터'!AJ14,0)*6+IFERROR(='입력데이터'!AH14,0)*4</x:f>
        <x:v>0</x:v>
      </x:c>
      <x:c r="AI14" s="15" t="n">
        <x:f>IFERROR(='입력데이터'!AP14,0)*0.4+IFERROR(='입력데이터'!AE14,0)*1.5+IFERROR(='입력데이터'!Q14,0)*1.5</x:f>
        <x:v>0</x:v>
      </x:c>
      <x:c r="AJ14" s="15" t="n">
        <x:f>MAX(0,IFERROR(='입력데이터'!P14,0)-IFERROR(='입력데이터'!Q14,0)*2-IFERROR(='입력데이터'!T14,0)*3-IFERROR(='입력데이터'!Z14,0))*1.5+IFERROR(='입력데이터'!Y14,0)*0.3</x:f>
        <x:v>0</x:v>
      </x:c>
      <x:c r="AK14" s="15" t="n">
        <x:f>IFERROR(='입력데이터'!V14,0)*0.6+IFERROR(='입력데이터'!U14,0)*2+IFERROR(='입력데이터'!T14,0)*3</x:f>
        <x:v>0</x:v>
      </x:c>
      <x:c r="AL14" s="15" t="n">
        <x:f>IFERROR(='입력데이터'!AB14,0)*0.7+IFERROR(='입력데이터'!AA14,0)*1.5</x:f>
        <x:v>0</x:v>
      </x:c>
      <x:c r="AM14" s="15" t="n">
        <x:f>IFERROR(='입력데이터'!AF14,0)*5+IFERROR(IFERROR(='입력데이터'!AF14,0)/IFERROR(='입력데이터'!AL14,0),0)*3+IFERROR(='입력데이터'!AT14,0)</x:f>
        <x:v>0</x:v>
      </x:c>
      <x:c r="AN14" s="15" t="n">
        <x:f>IFERROR(='입력데이터'!AF14,0)*3+IFERROR(='입력데이터'!AG14,0)*3+IFERROR(IFERROR(='입력데이터'!AF14,0)/IFERROR(='입력데이터'!AL14,0),0)*4</x:f>
        <x:v>0</x:v>
      </x:c>
      <x:c r="AO14" s="15" t="n">
        <x:f>IFERROR(='입력데이터'!AG14,0)*12+IFERROR(='입력데이터'!AU14,0)*6</x:f>
        <x:v>0</x:v>
      </x:c>
      <x:c r="AP14" s="15" t="n">
        <x:f>IFERROR(='입력데이터'!AH14,0)*14+IFERROR(='입력데이터'!AD14,0)</x:f>
        <x:v>0</x:v>
      </x:c>
      <x:c r="AQ14" s="15" t="n">
        <x:f>IFERROR(='입력데이터'!AC14,0)*10</x:f>
        <x:v>0</x:v>
      </x:c>
      <x:c r="AR14" s="15" t="n">
        <x:f>IFERROR(='입력데이터'!AD14,0)*7+IFERROR(='입력데이터'!AH14,0)*2</x:f>
        <x:v>0</x:v>
      </x:c>
      <x:c r="AS14" s="15" t="n">
        <x:f>IFERROR(='입력데이터'!AH14,0)*8+IFERROR(='입력데이터'!AD14,0)*2+IFERROR(='입력데이터'!AI14,0)*4</x:f>
        <x:v>0</x:v>
      </x:c>
      <x:c r="AT14" s="16" t="n">
        <x:f>IFERROR(='입력데이터'!AG14,0)*8+IFERROR(='입력데이터'!AI14,0)*5+IFERROR(='입력데이터'!AU14,0)*4</x:f>
        <x:v>0</x:v>
      </x:c>
    </x:row>
    <x:row r="15">
      <x:c r="A15" s="14" t="str">
        <x:f>IF('입력데이터'!$B15="","",'입력데이터'!A15)</x:f>
      </x:c>
      <x:c r="B15" s="15" t="str">
        <x:f>IF('입력데이터'!$B15="","",'입력데이터'!B15)</x:f>
      </x:c>
      <x:c r="C15" s="15" t="str">
        <x:f>IF('입력데이터'!$B15="","",'입력데이터'!K15)</x:f>
      </x:c>
      <x:c r="D15" s="15" t="str">
        <x:f>IF('입력데이터'!$B15="","",'입력데이터'!H15)</x:f>
      </x:c>
      <x:c r="E15" s="15" t="str">
        <x:f>IF('입력데이터'!$B15="","",'입력데이터'!I15)</x:f>
      </x:c>
      <x:c r="F15" s="15" t="str">
        <x:f>IF('입력데이터'!$B15="","",'입력데이터'!J15)</x:f>
      </x:c>
      <x:c r="G15" s="15" t="str">
        <x:f>IF('입력데이터'!$B15="","",'입력데이터'!L15)</x:f>
      </x:c>
      <x:c r="H15" s="15" t="str">
        <x:f>IF('입력데이터'!$B15="","",'입력데이터'!O15)</x:f>
      </x:c>
      <x:c r="I15" s="20" t="str">
        <x:f>IF($B15="", "", ROUND(MAX(30, MIN(99, IFERROR((AE15-MIN($AE$2:$AE$101))/(MAX($AE$2:$AE$101)-MIN($AE$2:$AE$101))*99,30))),0))</x:f>
      </x:c>
      <x:c r="J15" s="20" t="str">
        <x:f>IF($B15="", "", ROUND(MAX(30, MIN(99, IFERROR((AF15-MIN($AF$2:$AF$101))/(MAX($AF$2:$AF$101)-MIN($AF$2:$AF$101))*99,30))),0))</x:f>
      </x:c>
      <x:c r="K15" s="20" t="str">
        <x:f>IF($B15="", "", ROUND(MAX(30, MIN(99, IFERROR((AG15-MIN($AG$2:$AG$101))/(MAX($AG$2:$AG$101)-MIN($AG$2:$AG$101))*99,30))),0))</x:f>
      </x:c>
      <x:c r="L15" s="20" t="str">
        <x:f>IF($B15="", "", ROUND(MAX(30, MIN(99, IFERROR((AH15-MIN($AH$2:$AH$101))/(MAX($AH$2:$AH$101)-MIN($AH$2:$AH$101))*99,30))),0))</x:f>
      </x:c>
      <x:c r="M15" s="20" t="str">
        <x:f>IF($B15="", "", ROUND(MAX(30, MIN(99, IFERROR((AI15-MIN($AI$2:$AI$101))/(MAX($AI$2:$AI$101)-MIN($AI$2:$AI$101))*99,30))),0))</x:f>
      </x:c>
      <x:c r="N15" s="20" t="str">
        <x:f>IF($B15="", "", ROUND(MAX(30, MIN(99, IFERROR((AJ15-MIN($AJ$2:$AJ$101))/(MAX($AJ$2:$AJ$101)-MIN($AJ$2:$AJ$101))*99,30))),0))</x:f>
      </x:c>
      <x:c r="O15" s="20" t="str">
        <x:f>IF($B15="", "", ROUND(MAX(30, MIN(99, IFERROR((AK15-MIN($AK$2:$AK$101))/(MAX($AK$2:$AK$101)-MIN($AK$2:$AK$101))*99,30))),0))</x:f>
      </x:c>
      <x:c r="P15" s="20" t="str">
        <x:f>IF($B15="", "", ROUND(MAX(30, MIN(99, IFERROR((AL15-MIN($AL$2:$AL$101))/(MAX($AL$2:$AL$101)-MIN($AL$2:$AL$101))*99,30))),0))</x:f>
      </x:c>
      <x:c r="Q15" s="20" t="str">
        <x:f>IF($B15="", "", ROUND(MAX(30, MIN(99, IFERROR((AM15-MIN($AM$2:$AM$101))/(MAX($AM$2:$AM$101)-MIN($AM$2:$AM$101))*99,30))),0))</x:f>
      </x:c>
      <x:c r="R15" s="20" t="str">
        <x:f>IF($B15="", "", ROUND(MAX(30, MIN(99, IFERROR((AN15-MIN($AN$2:$AN$101))/(MAX($AN$2:$AN$101)-MIN($AN$2:$AN$101))*99,30))),0))</x:f>
      </x:c>
      <x:c r="S15" s="20" t="str">
        <x:f>IF($B15="", "", ROUND(MAX(30, MIN(99, IFERROR((AO15-MIN($AO$2:$AO$101))/(MAX($AO$2:$AO$101)-MIN($AO$2:$AO$101))*99,30))),0))</x:f>
      </x:c>
      <x:c r="T15" s="20" t="str">
        <x:f>IF($B15="", "", ROUND(MAX(30, MIN(99, IFERROR((AP15-MIN($AP$2:$AP$101))/(MAX($AP$2:$AP$101)-MIN($AP$2:$AP$101))*99,30))),0))</x:f>
      </x:c>
      <x:c r="U15" s="20" t="str">
        <x:f>IF($B15="", "", ROUND(MAX(30, MIN(99, IFERROR((AQ15-MIN($AQ$2:$AQ$101))/(MAX($AQ$2:$AQ$101)-MIN($AQ$2:$AQ$101))*99,30))),0))</x:f>
      </x:c>
      <x:c r="V15" s="20" t="str">
        <x:f>IF($B15="", "", ROUND(MAX(30, MIN(99, IFERROR((AR15-MIN($AR$2:$AR$101))/(MAX($AR$2:$AR$101)-MIN($AR$2:$AR$101))*99,30))),0))</x:f>
      </x:c>
      <x:c r="W15" s="20" t="str">
        <x:f>IF($B15="", "", ROUND(MAX(30, MIN(99, IFERROR((AS15-MIN($AS$2:$AS$101))/(MAX($AS$2:$AS$101)-MIN($AS$2:$AS$101))*99,30))),0))</x:f>
      </x:c>
      <x:c r="X15" s="20" t="str">
        <x:f>IF($B15="", "", ROUND(MAX(30, MIN(99, IFERROR((AT15-MIN($AT$2:$AT$101))/(MAX($AT$2:$AT$101)-MIN($AT$2:$AT$101))*99,30))),0))</x:f>
      </x:c>
      <x:c r="Y15" s="20" t="str">
        <x:f>IF($B15="","",ROUND(AVERAGE(I15:X15),0))</x:f>
      </x:c>
      <x:c r="Z15" s="20" t="str">
        <x:f>IF($B15="","",ROUND(MAX(30,MIN(99,IFS(ISNUMBER(SEARCH("PG",UPPER(SUBSTITUTE($C15,"/","-")))),84,ISNUMBER(SEARCH("SG",UPPER(SUBSTITUTE($C15,"/","-")))),76,ISNUMBER(SEARCH("SF",UPPER(SUBSTITUTE($C15,"/","-")))),68,ISNUMBER(SEARCH("PF",UPPER(SUBSTITUTE($C15,"/","-")))),55,ISNUMBER(SEARCH("C",UPPER(SUBSTITUTE($C15,"/","-")))),42,TRUE,65)+((195-IFERROR($D15,195))*0.15)+((95-IFERROR($E15,95))*0.08))),0))</x:f>
      </x:c>
      <x:c r="AA15" s="20" t="str">
        <x:f>IF($B15="","",ROUND(MAX(30,MIN(99,IFS(ISNUMBER(SEARCH("PG",UPPER(SUBSTITUTE($C15,"/","-")))),84,ISNUMBER(SEARCH("SG",UPPER(SUBSTITUTE($C15,"/","-")))),76,ISNUMBER(SEARCH("SF",UPPER(SUBSTITUTE($C15,"/","-")))),68,ISNUMBER(SEARCH("PF",UPPER(SUBSTITUTE($C15,"/","-")))),55,ISNUMBER(SEARCH("C",UPPER(SUBSTITUTE($C15,"/","-")))),42,TRUE,65)+((195-IFERROR($D15,195))*0.18)+((95-IFERROR($E15,95))*0.10))),0))</x:f>
      </x:c>
      <x:c r="AB15" s="20" t="str">
        <x:f>IF($B15="","",ROUND(MAX(30,MIN(99,IFS(ISNUMBER(SEARCH("PG",UPPER(SUBSTITUTE($C15,"/","-")))),84,ISNUMBER(SEARCH("SG",UPPER(SUBSTITUTE($C15,"/","-")))),76,ISNUMBER(SEARCH("SF",UPPER(SUBSTITUTE($C15,"/","-")))),68,ISNUMBER(SEARCH("PF",UPPER(SUBSTITUTE($C15,"/","-")))),55,ISNUMBER(SEARCH("C",UPPER(SUBSTITUTE($C15,"/","-")))),42,TRUE,65)+2+((195-IFERROR($D15,195))*0.14)+((95-IFERROR($E15,95))*0.09))),0))</x:f>
      </x:c>
      <x:c r="AC15" s="20" t="str">
        <x:f>IF($B15="","",ROUND(MAX(30,MIN(99,IFS(ISNUMBER(SEARCH("C",UPPER(SUBSTITUTE($C15,"/","-")))),92,ISNUMBER(SEARCH("PF",UPPER(SUBSTITUTE($C15,"/","-")))),82,ISNUMBER(SEARCH("SF",UPPER(SUBSTITUTE($C15,"/","-")))),64,ISNUMBER(SEARCH("SG",UPPER(SUBSTITUTE($C15,"/","-")))),48,ISNUMBER(SEARCH("PG",UPPER(SUBSTITUTE($C15,"/","-")))),36,TRUE,60)+((IFERROR($E15,95)-95)*0.45)+((IFERROR($D15,195)-195)*0.10)+((IFERROR($F15,200)-200)*0.08))),0))</x:f>
      </x:c>
      <x:c r="AD15" s="20" t="str">
        <x:f>IF($B15="","",ROUND(MAX(30,MIN(99,65+((IFERROR($F15,200)-200)*0.22)+((IFERROR($D15,195)-195)*0.08)-((IFERROR($E15,95)-95)*0.07))),0))</x:f>
      </x:c>
      <x:c r="AE15" s="15" t="n">
        <x:f>IFERROR(='입력데이터'!S15,0)*0.4+IFERROR(='입력데이터'!AP15,0)*0.4+IFERROR(='입력데이터'!AO15,0)*0.5</x:f>
        <x:v>0</x:v>
      </x:c>
      <x:c r="AF15" s="15" t="n">
        <x:f>IFERROR(='입력데이터'!S15,0)*0.5+IFERROR(='입력데이터'!P15,0)*0.8+IFERROR(='입력데이터'!AG15,0)</x:f>
        <x:v>0</x:v>
      </x:c>
      <x:c r="AG15" s="15" t="n">
        <x:f>IFERROR(='입력데이터'!AJ15,0)*8+IFERROR(IFERROR(='입력데이터'!AJ15,0)/IFERROR(='입력데이터'!AK15,0),0)*30</x:f>
        <x:v>0</x:v>
      </x:c>
      <x:c r="AH15" s="15" t="n">
        <x:f>IFERROR(='입력데이터'!AJ15,0)*6+IFERROR(='입력데이터'!AH15,0)*4</x:f>
        <x:v>0</x:v>
      </x:c>
      <x:c r="AI15" s="15" t="n">
        <x:f>IFERROR(='입력데이터'!AP15,0)*0.4+IFERROR(='입력데이터'!AE15,0)*1.5+IFERROR(='입력데이터'!Q15,0)*1.5</x:f>
        <x:v>0</x:v>
      </x:c>
      <x:c r="AJ15" s="15" t="n">
        <x:f>MAX(0,IFERROR(='입력데이터'!P15,0)-IFERROR(='입력데이터'!Q15,0)*2-IFERROR(='입력데이터'!T15,0)*3-IFERROR(='입력데이터'!Z15,0))*1.5+IFERROR(='입력데이터'!Y15,0)*0.3</x:f>
        <x:v>0</x:v>
      </x:c>
      <x:c r="AK15" s="15" t="n">
        <x:f>IFERROR(='입력데이터'!V15,0)*0.6+IFERROR(='입력데이터'!U15,0)*2+IFERROR(='입력데이터'!T15,0)*3</x:f>
        <x:v>0</x:v>
      </x:c>
      <x:c r="AL15" s="15" t="n">
        <x:f>IFERROR(='입력데이터'!AB15,0)*0.7+IFERROR(='입력데이터'!AA15,0)*1.5</x:f>
        <x:v>0</x:v>
      </x:c>
      <x:c r="AM15" s="15" t="n">
        <x:f>IFERROR(='입력데이터'!AF15,0)*5+IFERROR(IFERROR(='입력데이터'!AF15,0)/IFERROR(='입력데이터'!AL15,0),0)*3+IFERROR(='입력데이터'!AT15,0)</x:f>
        <x:v>0</x:v>
      </x:c>
      <x:c r="AN15" s="15" t="n">
        <x:f>IFERROR(='입력데이터'!AF15,0)*3+IFERROR(='입력데이터'!AG15,0)*3+IFERROR(IFERROR(='입력데이터'!AF15,0)/IFERROR(='입력데이터'!AL15,0),0)*4</x:f>
        <x:v>0</x:v>
      </x:c>
      <x:c r="AO15" s="15" t="n">
        <x:f>IFERROR(='입력데이터'!AG15,0)*12+IFERROR(='입력데이터'!AU15,0)*6</x:f>
        <x:v>0</x:v>
      </x:c>
      <x:c r="AP15" s="15" t="n">
        <x:f>IFERROR(='입력데이터'!AH15,0)*14+IFERROR(='입력데이터'!AD15,0)</x:f>
        <x:v>0</x:v>
      </x:c>
      <x:c r="AQ15" s="15" t="n">
        <x:f>IFERROR(='입력데이터'!AC15,0)*10</x:f>
        <x:v>0</x:v>
      </x:c>
      <x:c r="AR15" s="15" t="n">
        <x:f>IFERROR(='입력데이터'!AD15,0)*7+IFERROR(='입력데이터'!AH15,0)*2</x:f>
        <x:v>0</x:v>
      </x:c>
      <x:c r="AS15" s="15" t="n">
        <x:f>IFERROR(='입력데이터'!AH15,0)*8+IFERROR(='입력데이터'!AD15,0)*2+IFERROR(='입력데이터'!AI15,0)*4</x:f>
        <x:v>0</x:v>
      </x:c>
      <x:c r="AT15" s="16" t="n">
        <x:f>IFERROR(='입력데이터'!AG15,0)*8+IFERROR(='입력데이터'!AI15,0)*5+IFERROR(='입력데이터'!AU15,0)*4</x:f>
        <x:v>0</x:v>
      </x:c>
    </x:row>
    <x:row r="16">
      <x:c r="A16" s="14" t="str">
        <x:f>IF('입력데이터'!$B16="","",'입력데이터'!A16)</x:f>
      </x:c>
      <x:c r="B16" s="15" t="str">
        <x:f>IF('입력데이터'!$B16="","",'입력데이터'!B16)</x:f>
      </x:c>
      <x:c r="C16" s="15" t="str">
        <x:f>IF('입력데이터'!$B16="","",'입력데이터'!K16)</x:f>
      </x:c>
      <x:c r="D16" s="15" t="str">
        <x:f>IF('입력데이터'!$B16="","",'입력데이터'!H16)</x:f>
      </x:c>
      <x:c r="E16" s="15" t="str">
        <x:f>IF('입력데이터'!$B16="","",'입력데이터'!I16)</x:f>
      </x:c>
      <x:c r="F16" s="15" t="str">
        <x:f>IF('입력데이터'!$B16="","",'입력데이터'!J16)</x:f>
      </x:c>
      <x:c r="G16" s="15" t="str">
        <x:f>IF('입력데이터'!$B16="","",'입력데이터'!L16)</x:f>
      </x:c>
      <x:c r="H16" s="15" t="str">
        <x:f>IF('입력데이터'!$B16="","",'입력데이터'!O16)</x:f>
      </x:c>
      <x:c r="I16" s="20" t="str">
        <x:f>IF($B16="", "", ROUND(MAX(30, MIN(99, IFERROR((AE16-MIN($AE$2:$AE$101))/(MAX($AE$2:$AE$101)-MIN($AE$2:$AE$101))*99,30))),0))</x:f>
      </x:c>
      <x:c r="J16" s="20" t="str">
        <x:f>IF($B16="", "", ROUND(MAX(30, MIN(99, IFERROR((AF16-MIN($AF$2:$AF$101))/(MAX($AF$2:$AF$101)-MIN($AF$2:$AF$101))*99,30))),0))</x:f>
      </x:c>
      <x:c r="K16" s="20" t="str">
        <x:f>IF($B16="", "", ROUND(MAX(30, MIN(99, IFERROR((AG16-MIN($AG$2:$AG$101))/(MAX($AG$2:$AG$101)-MIN($AG$2:$AG$101))*99,30))),0))</x:f>
      </x:c>
      <x:c r="L16" s="20" t="str">
        <x:f>IF($B16="", "", ROUND(MAX(30, MIN(99, IFERROR((AH16-MIN($AH$2:$AH$101))/(MAX($AH$2:$AH$101)-MIN($AH$2:$AH$101))*99,30))),0))</x:f>
      </x:c>
      <x:c r="M16" s="20" t="str">
        <x:f>IF($B16="", "", ROUND(MAX(30, MIN(99, IFERROR((AI16-MIN($AI$2:$AI$101))/(MAX($AI$2:$AI$101)-MIN($AI$2:$AI$101))*99,30))),0))</x:f>
      </x:c>
      <x:c r="N16" s="20" t="str">
        <x:f>IF($B16="", "", ROUND(MAX(30, MIN(99, IFERROR((AJ16-MIN($AJ$2:$AJ$101))/(MAX($AJ$2:$AJ$101)-MIN($AJ$2:$AJ$101))*99,30))),0))</x:f>
      </x:c>
      <x:c r="O16" s="20" t="str">
        <x:f>IF($B16="", "", ROUND(MAX(30, MIN(99, IFERROR((AK16-MIN($AK$2:$AK$101))/(MAX($AK$2:$AK$101)-MIN($AK$2:$AK$101))*99,30))),0))</x:f>
      </x:c>
      <x:c r="P16" s="20" t="str">
        <x:f>IF($B16="", "", ROUND(MAX(30, MIN(99, IFERROR((AL16-MIN($AL$2:$AL$101))/(MAX($AL$2:$AL$101)-MIN($AL$2:$AL$101))*99,30))),0))</x:f>
      </x:c>
      <x:c r="Q16" s="20" t="str">
        <x:f>IF($B16="", "", ROUND(MAX(30, MIN(99, IFERROR((AM16-MIN($AM$2:$AM$101))/(MAX($AM$2:$AM$101)-MIN($AM$2:$AM$101))*99,30))),0))</x:f>
      </x:c>
      <x:c r="R16" s="20" t="str">
        <x:f>IF($B16="", "", ROUND(MAX(30, MIN(99, IFERROR((AN16-MIN($AN$2:$AN$101))/(MAX($AN$2:$AN$101)-MIN($AN$2:$AN$101))*99,30))),0))</x:f>
      </x:c>
      <x:c r="S16" s="20" t="str">
        <x:f>IF($B16="", "", ROUND(MAX(30, MIN(99, IFERROR((AO16-MIN($AO$2:$AO$101))/(MAX($AO$2:$AO$101)-MIN($AO$2:$AO$101))*99,30))),0))</x:f>
      </x:c>
      <x:c r="T16" s="20" t="str">
        <x:f>IF($B16="", "", ROUND(MAX(30, MIN(99, IFERROR((AP16-MIN($AP$2:$AP$101))/(MAX($AP$2:$AP$101)-MIN($AP$2:$AP$101))*99,30))),0))</x:f>
      </x:c>
      <x:c r="U16" s="20" t="str">
        <x:f>IF($B16="", "", ROUND(MAX(30, MIN(99, IFERROR((AQ16-MIN($AQ$2:$AQ$101))/(MAX($AQ$2:$AQ$101)-MIN($AQ$2:$AQ$101))*99,30))),0))</x:f>
      </x:c>
      <x:c r="V16" s="20" t="str">
        <x:f>IF($B16="", "", ROUND(MAX(30, MIN(99, IFERROR((AR16-MIN($AR$2:$AR$101))/(MAX($AR$2:$AR$101)-MIN($AR$2:$AR$101))*99,30))),0))</x:f>
      </x:c>
      <x:c r="W16" s="20" t="str">
        <x:f>IF($B16="", "", ROUND(MAX(30, MIN(99, IFERROR((AS16-MIN($AS$2:$AS$101))/(MAX($AS$2:$AS$101)-MIN($AS$2:$AS$101))*99,30))),0))</x:f>
      </x:c>
      <x:c r="X16" s="20" t="str">
        <x:f>IF($B16="", "", ROUND(MAX(30, MIN(99, IFERROR((AT16-MIN($AT$2:$AT$101))/(MAX($AT$2:$AT$101)-MIN($AT$2:$AT$101))*99,30))),0))</x:f>
      </x:c>
      <x:c r="Y16" s="20" t="str">
        <x:f>IF($B16="","",ROUND(AVERAGE(I16:X16),0))</x:f>
      </x:c>
      <x:c r="Z16" s="20" t="str">
        <x:f>IF($B16="","",ROUND(MAX(30,MIN(99,IFS(ISNUMBER(SEARCH("PG",UPPER(SUBSTITUTE($C16,"/","-")))),84,ISNUMBER(SEARCH("SG",UPPER(SUBSTITUTE($C16,"/","-")))),76,ISNUMBER(SEARCH("SF",UPPER(SUBSTITUTE($C16,"/","-")))),68,ISNUMBER(SEARCH("PF",UPPER(SUBSTITUTE($C16,"/","-")))),55,ISNUMBER(SEARCH("C",UPPER(SUBSTITUTE($C16,"/","-")))),42,TRUE,65)+((195-IFERROR($D16,195))*0.15)+((95-IFERROR($E16,95))*0.08))),0))</x:f>
      </x:c>
      <x:c r="AA16" s="20" t="str">
        <x:f>IF($B16="","",ROUND(MAX(30,MIN(99,IFS(ISNUMBER(SEARCH("PG",UPPER(SUBSTITUTE($C16,"/","-")))),84,ISNUMBER(SEARCH("SG",UPPER(SUBSTITUTE($C16,"/","-")))),76,ISNUMBER(SEARCH("SF",UPPER(SUBSTITUTE($C16,"/","-")))),68,ISNUMBER(SEARCH("PF",UPPER(SUBSTITUTE($C16,"/","-")))),55,ISNUMBER(SEARCH("C",UPPER(SUBSTITUTE($C16,"/","-")))),42,TRUE,65)+((195-IFERROR($D16,195))*0.18)+((95-IFERROR($E16,95))*0.10))),0))</x:f>
      </x:c>
      <x:c r="AB16" s="20" t="str">
        <x:f>IF($B16="","",ROUND(MAX(30,MIN(99,IFS(ISNUMBER(SEARCH("PG",UPPER(SUBSTITUTE($C16,"/","-")))),84,ISNUMBER(SEARCH("SG",UPPER(SUBSTITUTE($C16,"/","-")))),76,ISNUMBER(SEARCH("SF",UPPER(SUBSTITUTE($C16,"/","-")))),68,ISNUMBER(SEARCH("PF",UPPER(SUBSTITUTE($C16,"/","-")))),55,ISNUMBER(SEARCH("C",UPPER(SUBSTITUTE($C16,"/","-")))),42,TRUE,65)+2+((195-IFERROR($D16,195))*0.14)+((95-IFERROR($E16,95))*0.09))),0))</x:f>
      </x:c>
      <x:c r="AC16" s="20" t="str">
        <x:f>IF($B16="","",ROUND(MAX(30,MIN(99,IFS(ISNUMBER(SEARCH("C",UPPER(SUBSTITUTE($C16,"/","-")))),92,ISNUMBER(SEARCH("PF",UPPER(SUBSTITUTE($C16,"/","-")))),82,ISNUMBER(SEARCH("SF",UPPER(SUBSTITUTE($C16,"/","-")))),64,ISNUMBER(SEARCH("SG",UPPER(SUBSTITUTE($C16,"/","-")))),48,ISNUMBER(SEARCH("PG",UPPER(SUBSTITUTE($C16,"/","-")))),36,TRUE,60)+((IFERROR($E16,95)-95)*0.45)+((IFERROR($D16,195)-195)*0.10)+((IFERROR($F16,200)-200)*0.08))),0))</x:f>
      </x:c>
      <x:c r="AD16" s="20" t="str">
        <x:f>IF($B16="","",ROUND(MAX(30,MIN(99,65+((IFERROR($F16,200)-200)*0.22)+((IFERROR($D16,195)-195)*0.08)-((IFERROR($E16,95)-95)*0.07))),0))</x:f>
      </x:c>
      <x:c r="AE16" s="15" t="n">
        <x:f>IFERROR(='입력데이터'!S16,0)*0.4+IFERROR(='입력데이터'!AP16,0)*0.4+IFERROR(='입력데이터'!AO16,0)*0.5</x:f>
        <x:v>0</x:v>
      </x:c>
      <x:c r="AF16" s="15" t="n">
        <x:f>IFERROR(='입력데이터'!S16,0)*0.5+IFERROR(='입력데이터'!P16,0)*0.8+IFERROR(='입력데이터'!AG16,0)</x:f>
        <x:v>0</x:v>
      </x:c>
      <x:c r="AG16" s="15" t="n">
        <x:f>IFERROR(='입력데이터'!AJ16,0)*8+IFERROR(IFERROR(='입력데이터'!AJ16,0)/IFERROR(='입력데이터'!AK16,0),0)*30</x:f>
        <x:v>0</x:v>
      </x:c>
      <x:c r="AH16" s="15" t="n">
        <x:f>IFERROR(='입력데이터'!AJ16,0)*6+IFERROR(='입력데이터'!AH16,0)*4</x:f>
        <x:v>0</x:v>
      </x:c>
      <x:c r="AI16" s="15" t="n">
        <x:f>IFERROR(='입력데이터'!AP16,0)*0.4+IFERROR(='입력데이터'!AE16,0)*1.5+IFERROR(='입력데이터'!Q16,0)*1.5</x:f>
        <x:v>0</x:v>
      </x:c>
      <x:c r="AJ16" s="15" t="n">
        <x:f>MAX(0,IFERROR(='입력데이터'!P16,0)-IFERROR(='입력데이터'!Q16,0)*2-IFERROR(='입력데이터'!T16,0)*3-IFERROR(='입력데이터'!Z16,0))*1.5+IFERROR(='입력데이터'!Y16,0)*0.3</x:f>
        <x:v>0</x:v>
      </x:c>
      <x:c r="AK16" s="15" t="n">
        <x:f>IFERROR(='입력데이터'!V16,0)*0.6+IFERROR(='입력데이터'!U16,0)*2+IFERROR(='입력데이터'!T16,0)*3</x:f>
        <x:v>0</x:v>
      </x:c>
      <x:c r="AL16" s="15" t="n">
        <x:f>IFERROR(='입력데이터'!AB16,0)*0.7+IFERROR(='입력데이터'!AA16,0)*1.5</x:f>
        <x:v>0</x:v>
      </x:c>
      <x:c r="AM16" s="15" t="n">
        <x:f>IFERROR(='입력데이터'!AF16,0)*5+IFERROR(IFERROR(='입력데이터'!AF16,0)/IFERROR(='입력데이터'!AL16,0),0)*3+IFERROR(='입력데이터'!AT16,0)</x:f>
        <x:v>0</x:v>
      </x:c>
      <x:c r="AN16" s="15" t="n">
        <x:f>IFERROR(='입력데이터'!AF16,0)*3+IFERROR(='입력데이터'!AG16,0)*3+IFERROR(IFERROR(='입력데이터'!AF16,0)/IFERROR(='입력데이터'!AL16,0),0)*4</x:f>
        <x:v>0</x:v>
      </x:c>
      <x:c r="AO16" s="15" t="n">
        <x:f>IFERROR(='입력데이터'!AG16,0)*12+IFERROR(='입력데이터'!AU16,0)*6</x:f>
        <x:v>0</x:v>
      </x:c>
      <x:c r="AP16" s="15" t="n">
        <x:f>IFERROR(='입력데이터'!AH16,0)*14+IFERROR(='입력데이터'!AD16,0)</x:f>
        <x:v>0</x:v>
      </x:c>
      <x:c r="AQ16" s="15" t="n">
        <x:f>IFERROR(='입력데이터'!AC16,0)*10</x:f>
        <x:v>0</x:v>
      </x:c>
      <x:c r="AR16" s="15" t="n">
        <x:f>IFERROR(='입력데이터'!AD16,0)*7+IFERROR(='입력데이터'!AH16,0)*2</x:f>
        <x:v>0</x:v>
      </x:c>
      <x:c r="AS16" s="15" t="n">
        <x:f>IFERROR(='입력데이터'!AH16,0)*8+IFERROR(='입력데이터'!AD16,0)*2+IFERROR(='입력데이터'!AI16,0)*4</x:f>
        <x:v>0</x:v>
      </x:c>
      <x:c r="AT16" s="16" t="n">
        <x:f>IFERROR(='입력데이터'!AG16,0)*8+IFERROR(='입력데이터'!AI16,0)*5+IFERROR(='입력데이터'!AU16,0)*4</x:f>
        <x:v>0</x:v>
      </x:c>
    </x:row>
    <x:row r="17">
      <x:c r="A17" s="14" t="str">
        <x:f>IF('입력데이터'!$B17="","",'입력데이터'!A17)</x:f>
      </x:c>
      <x:c r="B17" s="15" t="str">
        <x:f>IF('입력데이터'!$B17="","",'입력데이터'!B17)</x:f>
      </x:c>
      <x:c r="C17" s="15" t="str">
        <x:f>IF('입력데이터'!$B17="","",'입력데이터'!K17)</x:f>
      </x:c>
      <x:c r="D17" s="15" t="str">
        <x:f>IF('입력데이터'!$B17="","",'입력데이터'!H17)</x:f>
      </x:c>
      <x:c r="E17" s="15" t="str">
        <x:f>IF('입력데이터'!$B17="","",'입력데이터'!I17)</x:f>
      </x:c>
      <x:c r="F17" s="15" t="str">
        <x:f>IF('입력데이터'!$B17="","",'입력데이터'!J17)</x:f>
      </x:c>
      <x:c r="G17" s="15" t="str">
        <x:f>IF('입력데이터'!$B17="","",'입력데이터'!L17)</x:f>
      </x:c>
      <x:c r="H17" s="15" t="str">
        <x:f>IF('입력데이터'!$B17="","",'입력데이터'!O17)</x:f>
      </x:c>
      <x:c r="I17" s="20" t="str">
        <x:f>IF($B17="", "", ROUND(MAX(30, MIN(99, IFERROR((AE17-MIN($AE$2:$AE$101))/(MAX($AE$2:$AE$101)-MIN($AE$2:$AE$101))*99,30))),0))</x:f>
      </x:c>
      <x:c r="J17" s="20" t="str">
        <x:f>IF($B17="", "", ROUND(MAX(30, MIN(99, IFERROR((AF17-MIN($AF$2:$AF$101))/(MAX($AF$2:$AF$101)-MIN($AF$2:$AF$101))*99,30))),0))</x:f>
      </x:c>
      <x:c r="K17" s="20" t="str">
        <x:f>IF($B17="", "", ROUND(MAX(30, MIN(99, IFERROR((AG17-MIN($AG$2:$AG$101))/(MAX($AG$2:$AG$101)-MIN($AG$2:$AG$101))*99,30))),0))</x:f>
      </x:c>
      <x:c r="L17" s="20" t="str">
        <x:f>IF($B17="", "", ROUND(MAX(30, MIN(99, IFERROR((AH17-MIN($AH$2:$AH$101))/(MAX($AH$2:$AH$101)-MIN($AH$2:$AH$101))*99,30))),0))</x:f>
      </x:c>
      <x:c r="M17" s="20" t="str">
        <x:f>IF($B17="", "", ROUND(MAX(30, MIN(99, IFERROR((AI17-MIN($AI$2:$AI$101))/(MAX($AI$2:$AI$101)-MIN($AI$2:$AI$101))*99,30))),0))</x:f>
      </x:c>
      <x:c r="N17" s="20" t="str">
        <x:f>IF($B17="", "", ROUND(MAX(30, MIN(99, IFERROR((AJ17-MIN($AJ$2:$AJ$101))/(MAX($AJ$2:$AJ$101)-MIN($AJ$2:$AJ$101))*99,30))),0))</x:f>
      </x:c>
      <x:c r="O17" s="20" t="str">
        <x:f>IF($B17="", "", ROUND(MAX(30, MIN(99, IFERROR((AK17-MIN($AK$2:$AK$101))/(MAX($AK$2:$AK$101)-MIN($AK$2:$AK$101))*99,30))),0))</x:f>
      </x:c>
      <x:c r="P17" s="20" t="str">
        <x:f>IF($B17="", "", ROUND(MAX(30, MIN(99, IFERROR((AL17-MIN($AL$2:$AL$101))/(MAX($AL$2:$AL$101)-MIN($AL$2:$AL$101))*99,30))),0))</x:f>
      </x:c>
      <x:c r="Q17" s="20" t="str">
        <x:f>IF($B17="", "", ROUND(MAX(30, MIN(99, IFERROR((AM17-MIN($AM$2:$AM$101))/(MAX($AM$2:$AM$101)-MIN($AM$2:$AM$101))*99,30))),0))</x:f>
      </x:c>
      <x:c r="R17" s="20" t="str">
        <x:f>IF($B17="", "", ROUND(MAX(30, MIN(99, IFERROR((AN17-MIN($AN$2:$AN$101))/(MAX($AN$2:$AN$101)-MIN($AN$2:$AN$101))*99,30))),0))</x:f>
      </x:c>
      <x:c r="S17" s="20" t="str">
        <x:f>IF($B17="", "", ROUND(MAX(30, MIN(99, IFERROR((AO17-MIN($AO$2:$AO$101))/(MAX($AO$2:$AO$101)-MIN($AO$2:$AO$101))*99,30))),0))</x:f>
      </x:c>
      <x:c r="T17" s="20" t="str">
        <x:f>IF($B17="", "", ROUND(MAX(30, MIN(99, IFERROR((AP17-MIN($AP$2:$AP$101))/(MAX($AP$2:$AP$101)-MIN($AP$2:$AP$101))*99,30))),0))</x:f>
      </x:c>
      <x:c r="U17" s="20" t="str">
        <x:f>IF($B17="", "", ROUND(MAX(30, MIN(99, IFERROR((AQ17-MIN($AQ$2:$AQ$101))/(MAX($AQ$2:$AQ$101)-MIN($AQ$2:$AQ$101))*99,30))),0))</x:f>
      </x:c>
      <x:c r="V17" s="20" t="str">
        <x:f>IF($B17="", "", ROUND(MAX(30, MIN(99, IFERROR((AR17-MIN($AR$2:$AR$101))/(MAX($AR$2:$AR$101)-MIN($AR$2:$AR$101))*99,30))),0))</x:f>
      </x:c>
      <x:c r="W17" s="20" t="str">
        <x:f>IF($B17="", "", ROUND(MAX(30, MIN(99, IFERROR((AS17-MIN($AS$2:$AS$101))/(MAX($AS$2:$AS$101)-MIN($AS$2:$AS$101))*99,30))),0))</x:f>
      </x:c>
      <x:c r="X17" s="20" t="str">
        <x:f>IF($B17="", "", ROUND(MAX(30, MIN(99, IFERROR((AT17-MIN($AT$2:$AT$101))/(MAX($AT$2:$AT$101)-MIN($AT$2:$AT$101))*99,30))),0))</x:f>
      </x:c>
      <x:c r="Y17" s="20" t="str">
        <x:f>IF($B17="","",ROUND(AVERAGE(I17:X17),0))</x:f>
      </x:c>
      <x:c r="Z17" s="20" t="str">
        <x:f>IF($B17="","",ROUND(MAX(30,MIN(99,IFS(ISNUMBER(SEARCH("PG",UPPER(SUBSTITUTE($C17,"/","-")))),84,ISNUMBER(SEARCH("SG",UPPER(SUBSTITUTE($C17,"/","-")))),76,ISNUMBER(SEARCH("SF",UPPER(SUBSTITUTE($C17,"/","-")))),68,ISNUMBER(SEARCH("PF",UPPER(SUBSTITUTE($C17,"/","-")))),55,ISNUMBER(SEARCH("C",UPPER(SUBSTITUTE($C17,"/","-")))),42,TRUE,65)+((195-IFERROR($D17,195))*0.15)+((95-IFERROR($E17,95))*0.08))),0))</x:f>
      </x:c>
      <x:c r="AA17" s="20" t="str">
        <x:f>IF($B17="","",ROUND(MAX(30,MIN(99,IFS(ISNUMBER(SEARCH("PG",UPPER(SUBSTITUTE($C17,"/","-")))),84,ISNUMBER(SEARCH("SG",UPPER(SUBSTITUTE($C17,"/","-")))),76,ISNUMBER(SEARCH("SF",UPPER(SUBSTITUTE($C17,"/","-")))),68,ISNUMBER(SEARCH("PF",UPPER(SUBSTITUTE($C17,"/","-")))),55,ISNUMBER(SEARCH("C",UPPER(SUBSTITUTE($C17,"/","-")))),42,TRUE,65)+((195-IFERROR($D17,195))*0.18)+((95-IFERROR($E17,95))*0.10))),0))</x:f>
      </x:c>
      <x:c r="AB17" s="20" t="str">
        <x:f>IF($B17="","",ROUND(MAX(30,MIN(99,IFS(ISNUMBER(SEARCH("PG",UPPER(SUBSTITUTE($C17,"/","-")))),84,ISNUMBER(SEARCH("SG",UPPER(SUBSTITUTE($C17,"/","-")))),76,ISNUMBER(SEARCH("SF",UPPER(SUBSTITUTE($C17,"/","-")))),68,ISNUMBER(SEARCH("PF",UPPER(SUBSTITUTE($C17,"/","-")))),55,ISNUMBER(SEARCH("C",UPPER(SUBSTITUTE($C17,"/","-")))),42,TRUE,65)+2+((195-IFERROR($D17,195))*0.14)+((95-IFERROR($E17,95))*0.09))),0))</x:f>
      </x:c>
      <x:c r="AC17" s="20" t="str">
        <x:f>IF($B17="","",ROUND(MAX(30,MIN(99,IFS(ISNUMBER(SEARCH("C",UPPER(SUBSTITUTE($C17,"/","-")))),92,ISNUMBER(SEARCH("PF",UPPER(SUBSTITUTE($C17,"/","-")))),82,ISNUMBER(SEARCH("SF",UPPER(SUBSTITUTE($C17,"/","-")))),64,ISNUMBER(SEARCH("SG",UPPER(SUBSTITUTE($C17,"/","-")))),48,ISNUMBER(SEARCH("PG",UPPER(SUBSTITUTE($C17,"/","-")))),36,TRUE,60)+((IFERROR($E17,95)-95)*0.45)+((IFERROR($D17,195)-195)*0.10)+((IFERROR($F17,200)-200)*0.08))),0))</x:f>
      </x:c>
      <x:c r="AD17" s="20" t="str">
        <x:f>IF($B17="","",ROUND(MAX(30,MIN(99,65+((IFERROR($F17,200)-200)*0.22)+((IFERROR($D17,195)-195)*0.08)-((IFERROR($E17,95)-95)*0.07))),0))</x:f>
      </x:c>
      <x:c r="AE17" s="15" t="n">
        <x:f>IFERROR(='입력데이터'!S17,0)*0.4+IFERROR(='입력데이터'!AP17,0)*0.4+IFERROR(='입력데이터'!AO17,0)*0.5</x:f>
        <x:v>0</x:v>
      </x:c>
      <x:c r="AF17" s="15" t="n">
        <x:f>IFERROR(='입력데이터'!S17,0)*0.5+IFERROR(='입력데이터'!P17,0)*0.8+IFERROR(='입력데이터'!AG17,0)</x:f>
        <x:v>0</x:v>
      </x:c>
      <x:c r="AG17" s="15" t="n">
        <x:f>IFERROR(='입력데이터'!AJ17,0)*8+IFERROR(IFERROR(='입력데이터'!AJ17,0)/IFERROR(='입력데이터'!AK17,0),0)*30</x:f>
        <x:v>0</x:v>
      </x:c>
      <x:c r="AH17" s="15" t="n">
        <x:f>IFERROR(='입력데이터'!AJ17,0)*6+IFERROR(='입력데이터'!AH17,0)*4</x:f>
        <x:v>0</x:v>
      </x:c>
      <x:c r="AI17" s="15" t="n">
        <x:f>IFERROR(='입력데이터'!AP17,0)*0.4+IFERROR(='입력데이터'!AE17,0)*1.5+IFERROR(='입력데이터'!Q17,0)*1.5</x:f>
        <x:v>0</x:v>
      </x:c>
      <x:c r="AJ17" s="15" t="n">
        <x:f>MAX(0,IFERROR(='입력데이터'!P17,0)-IFERROR(='입력데이터'!Q17,0)*2-IFERROR(='입력데이터'!T17,0)*3-IFERROR(='입력데이터'!Z17,0))*1.5+IFERROR(='입력데이터'!Y17,0)*0.3</x:f>
        <x:v>0</x:v>
      </x:c>
      <x:c r="AK17" s="15" t="n">
        <x:f>IFERROR(='입력데이터'!V17,0)*0.6+IFERROR(='입력데이터'!U17,0)*2+IFERROR(='입력데이터'!T17,0)*3</x:f>
        <x:v>0</x:v>
      </x:c>
      <x:c r="AL17" s="15" t="n">
        <x:f>IFERROR(='입력데이터'!AB17,0)*0.7+IFERROR(='입력데이터'!AA17,0)*1.5</x:f>
        <x:v>0</x:v>
      </x:c>
      <x:c r="AM17" s="15" t="n">
        <x:f>IFERROR(='입력데이터'!AF17,0)*5+IFERROR(IFERROR(='입력데이터'!AF17,0)/IFERROR(='입력데이터'!AL17,0),0)*3+IFERROR(='입력데이터'!AT17,0)</x:f>
        <x:v>0</x:v>
      </x:c>
      <x:c r="AN17" s="15" t="n">
        <x:f>IFERROR(='입력데이터'!AF17,0)*3+IFERROR(='입력데이터'!AG17,0)*3+IFERROR(IFERROR(='입력데이터'!AF17,0)/IFERROR(='입력데이터'!AL17,0),0)*4</x:f>
        <x:v>0</x:v>
      </x:c>
      <x:c r="AO17" s="15" t="n">
        <x:f>IFERROR(='입력데이터'!AG17,0)*12+IFERROR(='입력데이터'!AU17,0)*6</x:f>
        <x:v>0</x:v>
      </x:c>
      <x:c r="AP17" s="15" t="n">
        <x:f>IFERROR(='입력데이터'!AH17,0)*14+IFERROR(='입력데이터'!AD17,0)</x:f>
        <x:v>0</x:v>
      </x:c>
      <x:c r="AQ17" s="15" t="n">
        <x:f>IFERROR(='입력데이터'!AC17,0)*10</x:f>
        <x:v>0</x:v>
      </x:c>
      <x:c r="AR17" s="15" t="n">
        <x:f>IFERROR(='입력데이터'!AD17,0)*7+IFERROR(='입력데이터'!AH17,0)*2</x:f>
        <x:v>0</x:v>
      </x:c>
      <x:c r="AS17" s="15" t="n">
        <x:f>IFERROR(='입력데이터'!AH17,0)*8+IFERROR(='입력데이터'!AD17,0)*2+IFERROR(='입력데이터'!AI17,0)*4</x:f>
        <x:v>0</x:v>
      </x:c>
      <x:c r="AT17" s="16" t="n">
        <x:f>IFERROR(='입력데이터'!AG17,0)*8+IFERROR(='입력데이터'!AI17,0)*5+IFERROR(='입력데이터'!AU17,0)*4</x:f>
        <x:v>0</x:v>
      </x:c>
    </x:row>
    <x:row r="18">
      <x:c r="A18" s="14" t="str">
        <x:f>IF('입력데이터'!$B18="","",'입력데이터'!A18)</x:f>
      </x:c>
      <x:c r="B18" s="15" t="str">
        <x:f>IF('입력데이터'!$B18="","",'입력데이터'!B18)</x:f>
      </x:c>
      <x:c r="C18" s="15" t="str">
        <x:f>IF('입력데이터'!$B18="","",'입력데이터'!K18)</x:f>
      </x:c>
      <x:c r="D18" s="15" t="str">
        <x:f>IF('입력데이터'!$B18="","",'입력데이터'!H18)</x:f>
      </x:c>
      <x:c r="E18" s="15" t="str">
        <x:f>IF('입력데이터'!$B18="","",'입력데이터'!I18)</x:f>
      </x:c>
      <x:c r="F18" s="15" t="str">
        <x:f>IF('입력데이터'!$B18="","",'입력데이터'!J18)</x:f>
      </x:c>
      <x:c r="G18" s="15" t="str">
        <x:f>IF('입력데이터'!$B18="","",'입력데이터'!L18)</x:f>
      </x:c>
      <x:c r="H18" s="15" t="str">
        <x:f>IF('입력데이터'!$B18="","",'입력데이터'!O18)</x:f>
      </x:c>
      <x:c r="I18" s="20" t="str">
        <x:f>IF($B18="", "", ROUND(MAX(30, MIN(99, IFERROR((AE18-MIN($AE$2:$AE$101))/(MAX($AE$2:$AE$101)-MIN($AE$2:$AE$101))*99,30))),0))</x:f>
      </x:c>
      <x:c r="J18" s="20" t="str">
        <x:f>IF($B18="", "", ROUND(MAX(30, MIN(99, IFERROR((AF18-MIN($AF$2:$AF$101))/(MAX($AF$2:$AF$101)-MIN($AF$2:$AF$101))*99,30))),0))</x:f>
      </x:c>
      <x:c r="K18" s="20" t="str">
        <x:f>IF($B18="", "", ROUND(MAX(30, MIN(99, IFERROR((AG18-MIN($AG$2:$AG$101))/(MAX($AG$2:$AG$101)-MIN($AG$2:$AG$101))*99,30))),0))</x:f>
      </x:c>
      <x:c r="L18" s="20" t="str">
        <x:f>IF($B18="", "", ROUND(MAX(30, MIN(99, IFERROR((AH18-MIN($AH$2:$AH$101))/(MAX($AH$2:$AH$101)-MIN($AH$2:$AH$101))*99,30))),0))</x:f>
      </x:c>
      <x:c r="M18" s="20" t="str">
        <x:f>IF($B18="", "", ROUND(MAX(30, MIN(99, IFERROR((AI18-MIN($AI$2:$AI$101))/(MAX($AI$2:$AI$101)-MIN($AI$2:$AI$101))*99,30))),0))</x:f>
      </x:c>
      <x:c r="N18" s="20" t="str">
        <x:f>IF($B18="", "", ROUND(MAX(30, MIN(99, IFERROR((AJ18-MIN($AJ$2:$AJ$101))/(MAX($AJ$2:$AJ$101)-MIN($AJ$2:$AJ$101))*99,30))),0))</x:f>
      </x:c>
      <x:c r="O18" s="20" t="str">
        <x:f>IF($B18="", "", ROUND(MAX(30, MIN(99, IFERROR((AK18-MIN($AK$2:$AK$101))/(MAX($AK$2:$AK$101)-MIN($AK$2:$AK$101))*99,30))),0))</x:f>
      </x:c>
      <x:c r="P18" s="20" t="str">
        <x:f>IF($B18="", "", ROUND(MAX(30, MIN(99, IFERROR((AL18-MIN($AL$2:$AL$101))/(MAX($AL$2:$AL$101)-MIN($AL$2:$AL$101))*99,30))),0))</x:f>
      </x:c>
      <x:c r="Q18" s="20" t="str">
        <x:f>IF($B18="", "", ROUND(MAX(30, MIN(99, IFERROR((AM18-MIN($AM$2:$AM$101))/(MAX($AM$2:$AM$101)-MIN($AM$2:$AM$101))*99,30))),0))</x:f>
      </x:c>
      <x:c r="R18" s="20" t="str">
        <x:f>IF($B18="", "", ROUND(MAX(30, MIN(99, IFERROR((AN18-MIN($AN$2:$AN$101))/(MAX($AN$2:$AN$101)-MIN($AN$2:$AN$101))*99,30))),0))</x:f>
      </x:c>
      <x:c r="S18" s="20" t="str">
        <x:f>IF($B18="", "", ROUND(MAX(30, MIN(99, IFERROR((AO18-MIN($AO$2:$AO$101))/(MAX($AO$2:$AO$101)-MIN($AO$2:$AO$101))*99,30))),0))</x:f>
      </x:c>
      <x:c r="T18" s="20" t="str">
        <x:f>IF($B18="", "", ROUND(MAX(30, MIN(99, IFERROR((AP18-MIN($AP$2:$AP$101))/(MAX($AP$2:$AP$101)-MIN($AP$2:$AP$101))*99,30))),0))</x:f>
      </x:c>
      <x:c r="U18" s="20" t="str">
        <x:f>IF($B18="", "", ROUND(MAX(30, MIN(99, IFERROR((AQ18-MIN($AQ$2:$AQ$101))/(MAX($AQ$2:$AQ$101)-MIN($AQ$2:$AQ$101))*99,30))),0))</x:f>
      </x:c>
      <x:c r="V18" s="20" t="str">
        <x:f>IF($B18="", "", ROUND(MAX(30, MIN(99, IFERROR((AR18-MIN($AR$2:$AR$101))/(MAX($AR$2:$AR$101)-MIN($AR$2:$AR$101))*99,30))),0))</x:f>
      </x:c>
      <x:c r="W18" s="20" t="str">
        <x:f>IF($B18="", "", ROUND(MAX(30, MIN(99, IFERROR((AS18-MIN($AS$2:$AS$101))/(MAX($AS$2:$AS$101)-MIN($AS$2:$AS$101))*99,30))),0))</x:f>
      </x:c>
      <x:c r="X18" s="20" t="str">
        <x:f>IF($B18="", "", ROUND(MAX(30, MIN(99, IFERROR((AT18-MIN($AT$2:$AT$101))/(MAX($AT$2:$AT$101)-MIN($AT$2:$AT$101))*99,30))),0))</x:f>
      </x:c>
      <x:c r="Y18" s="20" t="str">
        <x:f>IF($B18="","",ROUND(AVERAGE(I18:X18),0))</x:f>
      </x:c>
      <x:c r="Z18" s="20" t="str">
        <x:f>IF($B18="","",ROUND(MAX(30,MIN(99,IFS(ISNUMBER(SEARCH("PG",UPPER(SUBSTITUTE($C18,"/","-")))),84,ISNUMBER(SEARCH("SG",UPPER(SUBSTITUTE($C18,"/","-")))),76,ISNUMBER(SEARCH("SF",UPPER(SUBSTITUTE($C18,"/","-")))),68,ISNUMBER(SEARCH("PF",UPPER(SUBSTITUTE($C18,"/","-")))),55,ISNUMBER(SEARCH("C",UPPER(SUBSTITUTE($C18,"/","-")))),42,TRUE,65)+((195-IFERROR($D18,195))*0.15)+((95-IFERROR($E18,95))*0.08))),0))</x:f>
      </x:c>
      <x:c r="AA18" s="20" t="str">
        <x:f>IF($B18="","",ROUND(MAX(30,MIN(99,IFS(ISNUMBER(SEARCH("PG",UPPER(SUBSTITUTE($C18,"/","-")))),84,ISNUMBER(SEARCH("SG",UPPER(SUBSTITUTE($C18,"/","-")))),76,ISNUMBER(SEARCH("SF",UPPER(SUBSTITUTE($C18,"/","-")))),68,ISNUMBER(SEARCH("PF",UPPER(SUBSTITUTE($C18,"/","-")))),55,ISNUMBER(SEARCH("C",UPPER(SUBSTITUTE($C18,"/","-")))),42,TRUE,65)+((195-IFERROR($D18,195))*0.18)+((95-IFERROR($E18,95))*0.10))),0))</x:f>
      </x:c>
      <x:c r="AB18" s="20" t="str">
        <x:f>IF($B18="","",ROUND(MAX(30,MIN(99,IFS(ISNUMBER(SEARCH("PG",UPPER(SUBSTITUTE($C18,"/","-")))),84,ISNUMBER(SEARCH("SG",UPPER(SUBSTITUTE($C18,"/","-")))),76,ISNUMBER(SEARCH("SF",UPPER(SUBSTITUTE($C18,"/","-")))),68,ISNUMBER(SEARCH("PF",UPPER(SUBSTITUTE($C18,"/","-")))),55,ISNUMBER(SEARCH("C",UPPER(SUBSTITUTE($C18,"/","-")))),42,TRUE,65)+2+((195-IFERROR($D18,195))*0.14)+((95-IFERROR($E18,95))*0.09))),0))</x:f>
      </x:c>
      <x:c r="AC18" s="20" t="str">
        <x:f>IF($B18="","",ROUND(MAX(30,MIN(99,IFS(ISNUMBER(SEARCH("C",UPPER(SUBSTITUTE($C18,"/","-")))),92,ISNUMBER(SEARCH("PF",UPPER(SUBSTITUTE($C18,"/","-")))),82,ISNUMBER(SEARCH("SF",UPPER(SUBSTITUTE($C18,"/","-")))),64,ISNUMBER(SEARCH("SG",UPPER(SUBSTITUTE($C18,"/","-")))),48,ISNUMBER(SEARCH("PG",UPPER(SUBSTITUTE($C18,"/","-")))),36,TRUE,60)+((IFERROR($E18,95)-95)*0.45)+((IFERROR($D18,195)-195)*0.10)+((IFERROR($F18,200)-200)*0.08))),0))</x:f>
      </x:c>
      <x:c r="AD18" s="20" t="str">
        <x:f>IF($B18="","",ROUND(MAX(30,MIN(99,65+((IFERROR($F18,200)-200)*0.22)+((IFERROR($D18,195)-195)*0.08)-((IFERROR($E18,95)-95)*0.07))),0))</x:f>
      </x:c>
      <x:c r="AE18" s="15" t="n">
        <x:f>IFERROR(='입력데이터'!S18,0)*0.4+IFERROR(='입력데이터'!AP18,0)*0.4+IFERROR(='입력데이터'!AO18,0)*0.5</x:f>
        <x:v>0</x:v>
      </x:c>
      <x:c r="AF18" s="15" t="n">
        <x:f>IFERROR(='입력데이터'!S18,0)*0.5+IFERROR(='입력데이터'!P18,0)*0.8+IFERROR(='입력데이터'!AG18,0)</x:f>
        <x:v>0</x:v>
      </x:c>
      <x:c r="AG18" s="15" t="n">
        <x:f>IFERROR(='입력데이터'!AJ18,0)*8+IFERROR(IFERROR(='입력데이터'!AJ18,0)/IFERROR(='입력데이터'!AK18,0),0)*30</x:f>
        <x:v>0</x:v>
      </x:c>
      <x:c r="AH18" s="15" t="n">
        <x:f>IFERROR(='입력데이터'!AJ18,0)*6+IFERROR(='입력데이터'!AH18,0)*4</x:f>
        <x:v>0</x:v>
      </x:c>
      <x:c r="AI18" s="15" t="n">
        <x:f>IFERROR(='입력데이터'!AP18,0)*0.4+IFERROR(='입력데이터'!AE18,0)*1.5+IFERROR(='입력데이터'!Q18,0)*1.5</x:f>
        <x:v>0</x:v>
      </x:c>
      <x:c r="AJ18" s="15" t="n">
        <x:f>MAX(0,IFERROR(='입력데이터'!P18,0)-IFERROR(='입력데이터'!Q18,0)*2-IFERROR(='입력데이터'!T18,0)*3-IFERROR(='입력데이터'!Z18,0))*1.5+IFERROR(='입력데이터'!Y18,0)*0.3</x:f>
        <x:v>0</x:v>
      </x:c>
      <x:c r="AK18" s="15" t="n">
        <x:f>IFERROR(='입력데이터'!V18,0)*0.6+IFERROR(='입력데이터'!U18,0)*2+IFERROR(='입력데이터'!T18,0)*3</x:f>
        <x:v>0</x:v>
      </x:c>
      <x:c r="AL18" s="15" t="n">
        <x:f>IFERROR(='입력데이터'!AB18,0)*0.7+IFERROR(='입력데이터'!AA18,0)*1.5</x:f>
        <x:v>0</x:v>
      </x:c>
      <x:c r="AM18" s="15" t="n">
        <x:f>IFERROR(='입력데이터'!AF18,0)*5+IFERROR(IFERROR(='입력데이터'!AF18,0)/IFERROR(='입력데이터'!AL18,0),0)*3+IFERROR(='입력데이터'!AT18,0)</x:f>
        <x:v>0</x:v>
      </x:c>
      <x:c r="AN18" s="15" t="n">
        <x:f>IFERROR(='입력데이터'!AF18,0)*3+IFERROR(='입력데이터'!AG18,0)*3+IFERROR(IFERROR(='입력데이터'!AF18,0)/IFERROR(='입력데이터'!AL18,0),0)*4</x:f>
        <x:v>0</x:v>
      </x:c>
      <x:c r="AO18" s="15" t="n">
        <x:f>IFERROR(='입력데이터'!AG18,0)*12+IFERROR(='입력데이터'!AU18,0)*6</x:f>
        <x:v>0</x:v>
      </x:c>
      <x:c r="AP18" s="15" t="n">
        <x:f>IFERROR(='입력데이터'!AH18,0)*14+IFERROR(='입력데이터'!AD18,0)</x:f>
        <x:v>0</x:v>
      </x:c>
      <x:c r="AQ18" s="15" t="n">
        <x:f>IFERROR(='입력데이터'!AC18,0)*10</x:f>
        <x:v>0</x:v>
      </x:c>
      <x:c r="AR18" s="15" t="n">
        <x:f>IFERROR(='입력데이터'!AD18,0)*7+IFERROR(='입력데이터'!AH18,0)*2</x:f>
        <x:v>0</x:v>
      </x:c>
      <x:c r="AS18" s="15" t="n">
        <x:f>IFERROR(='입력데이터'!AH18,0)*8+IFERROR(='입력데이터'!AD18,0)*2+IFERROR(='입력데이터'!AI18,0)*4</x:f>
        <x:v>0</x:v>
      </x:c>
      <x:c r="AT18" s="16" t="n">
        <x:f>IFERROR(='입력데이터'!AG18,0)*8+IFERROR(='입력데이터'!AI18,0)*5+IFERROR(='입력데이터'!AU18,0)*4</x:f>
        <x:v>0</x:v>
      </x:c>
    </x:row>
    <x:row r="19">
      <x:c r="A19" s="14" t="str">
        <x:f>IF('입력데이터'!$B19="","",'입력데이터'!A19)</x:f>
      </x:c>
      <x:c r="B19" s="15" t="str">
        <x:f>IF('입력데이터'!$B19="","",'입력데이터'!B19)</x:f>
      </x:c>
      <x:c r="C19" s="15" t="str">
        <x:f>IF('입력데이터'!$B19="","",'입력데이터'!K19)</x:f>
      </x:c>
      <x:c r="D19" s="15" t="str">
        <x:f>IF('입력데이터'!$B19="","",'입력데이터'!H19)</x:f>
      </x:c>
      <x:c r="E19" s="15" t="str">
        <x:f>IF('입력데이터'!$B19="","",'입력데이터'!I19)</x:f>
      </x:c>
      <x:c r="F19" s="15" t="str">
        <x:f>IF('입력데이터'!$B19="","",'입력데이터'!J19)</x:f>
      </x:c>
      <x:c r="G19" s="15" t="str">
        <x:f>IF('입력데이터'!$B19="","",'입력데이터'!L19)</x:f>
      </x:c>
      <x:c r="H19" s="15" t="str">
        <x:f>IF('입력데이터'!$B19="","",'입력데이터'!O19)</x:f>
      </x:c>
      <x:c r="I19" s="20" t="str">
        <x:f>IF($B19="", "", ROUND(MAX(30, MIN(99, IFERROR((AE19-MIN($AE$2:$AE$101))/(MAX($AE$2:$AE$101)-MIN($AE$2:$AE$101))*99,30))),0))</x:f>
      </x:c>
      <x:c r="J19" s="20" t="str">
        <x:f>IF($B19="", "", ROUND(MAX(30, MIN(99, IFERROR((AF19-MIN($AF$2:$AF$101))/(MAX($AF$2:$AF$101)-MIN($AF$2:$AF$101))*99,30))),0))</x:f>
      </x:c>
      <x:c r="K19" s="20" t="str">
        <x:f>IF($B19="", "", ROUND(MAX(30, MIN(99, IFERROR((AG19-MIN($AG$2:$AG$101))/(MAX($AG$2:$AG$101)-MIN($AG$2:$AG$101))*99,30))),0))</x:f>
      </x:c>
      <x:c r="L19" s="20" t="str">
        <x:f>IF($B19="", "", ROUND(MAX(30, MIN(99, IFERROR((AH19-MIN($AH$2:$AH$101))/(MAX($AH$2:$AH$101)-MIN($AH$2:$AH$101))*99,30))),0))</x:f>
      </x:c>
      <x:c r="M19" s="20" t="str">
        <x:f>IF($B19="", "", ROUND(MAX(30, MIN(99, IFERROR((AI19-MIN($AI$2:$AI$101))/(MAX($AI$2:$AI$101)-MIN($AI$2:$AI$101))*99,30))),0))</x:f>
      </x:c>
      <x:c r="N19" s="20" t="str">
        <x:f>IF($B19="", "", ROUND(MAX(30, MIN(99, IFERROR((AJ19-MIN($AJ$2:$AJ$101))/(MAX($AJ$2:$AJ$101)-MIN($AJ$2:$AJ$101))*99,30))),0))</x:f>
      </x:c>
      <x:c r="O19" s="20" t="str">
        <x:f>IF($B19="", "", ROUND(MAX(30, MIN(99, IFERROR((AK19-MIN($AK$2:$AK$101))/(MAX($AK$2:$AK$101)-MIN($AK$2:$AK$101))*99,30))),0))</x:f>
      </x:c>
      <x:c r="P19" s="20" t="str">
        <x:f>IF($B19="", "", ROUND(MAX(30, MIN(99, IFERROR((AL19-MIN($AL$2:$AL$101))/(MAX($AL$2:$AL$101)-MIN($AL$2:$AL$101))*99,30))),0))</x:f>
      </x:c>
      <x:c r="Q19" s="20" t="str">
        <x:f>IF($B19="", "", ROUND(MAX(30, MIN(99, IFERROR((AM19-MIN($AM$2:$AM$101))/(MAX($AM$2:$AM$101)-MIN($AM$2:$AM$101))*99,30))),0))</x:f>
      </x:c>
      <x:c r="R19" s="20" t="str">
        <x:f>IF($B19="", "", ROUND(MAX(30, MIN(99, IFERROR((AN19-MIN($AN$2:$AN$101))/(MAX($AN$2:$AN$101)-MIN($AN$2:$AN$101))*99,30))),0))</x:f>
      </x:c>
      <x:c r="S19" s="20" t="str">
        <x:f>IF($B19="", "", ROUND(MAX(30, MIN(99, IFERROR((AO19-MIN($AO$2:$AO$101))/(MAX($AO$2:$AO$101)-MIN($AO$2:$AO$101))*99,30))),0))</x:f>
      </x:c>
      <x:c r="T19" s="20" t="str">
        <x:f>IF($B19="", "", ROUND(MAX(30, MIN(99, IFERROR((AP19-MIN($AP$2:$AP$101))/(MAX($AP$2:$AP$101)-MIN($AP$2:$AP$101))*99,30))),0))</x:f>
      </x:c>
      <x:c r="U19" s="20" t="str">
        <x:f>IF($B19="", "", ROUND(MAX(30, MIN(99, IFERROR((AQ19-MIN($AQ$2:$AQ$101))/(MAX($AQ$2:$AQ$101)-MIN($AQ$2:$AQ$101))*99,30))),0))</x:f>
      </x:c>
      <x:c r="V19" s="20" t="str">
        <x:f>IF($B19="", "", ROUND(MAX(30, MIN(99, IFERROR((AR19-MIN($AR$2:$AR$101))/(MAX($AR$2:$AR$101)-MIN($AR$2:$AR$101))*99,30))),0))</x:f>
      </x:c>
      <x:c r="W19" s="20" t="str">
        <x:f>IF($B19="", "", ROUND(MAX(30, MIN(99, IFERROR((AS19-MIN($AS$2:$AS$101))/(MAX($AS$2:$AS$101)-MIN($AS$2:$AS$101))*99,30))),0))</x:f>
      </x:c>
      <x:c r="X19" s="20" t="str">
        <x:f>IF($B19="", "", ROUND(MAX(30, MIN(99, IFERROR((AT19-MIN($AT$2:$AT$101))/(MAX($AT$2:$AT$101)-MIN($AT$2:$AT$101))*99,30))),0))</x:f>
      </x:c>
      <x:c r="Y19" s="20" t="str">
        <x:f>IF($B19="","",ROUND(AVERAGE(I19:X19),0))</x:f>
      </x:c>
      <x:c r="Z19" s="20" t="str">
        <x:f>IF($B19="","",ROUND(MAX(30,MIN(99,IFS(ISNUMBER(SEARCH("PG",UPPER(SUBSTITUTE($C19,"/","-")))),84,ISNUMBER(SEARCH("SG",UPPER(SUBSTITUTE($C19,"/","-")))),76,ISNUMBER(SEARCH("SF",UPPER(SUBSTITUTE($C19,"/","-")))),68,ISNUMBER(SEARCH("PF",UPPER(SUBSTITUTE($C19,"/","-")))),55,ISNUMBER(SEARCH("C",UPPER(SUBSTITUTE($C19,"/","-")))),42,TRUE,65)+((195-IFERROR($D19,195))*0.15)+((95-IFERROR($E19,95))*0.08))),0))</x:f>
      </x:c>
      <x:c r="AA19" s="20" t="str">
        <x:f>IF($B19="","",ROUND(MAX(30,MIN(99,IFS(ISNUMBER(SEARCH("PG",UPPER(SUBSTITUTE($C19,"/","-")))),84,ISNUMBER(SEARCH("SG",UPPER(SUBSTITUTE($C19,"/","-")))),76,ISNUMBER(SEARCH("SF",UPPER(SUBSTITUTE($C19,"/","-")))),68,ISNUMBER(SEARCH("PF",UPPER(SUBSTITUTE($C19,"/","-")))),55,ISNUMBER(SEARCH("C",UPPER(SUBSTITUTE($C19,"/","-")))),42,TRUE,65)+((195-IFERROR($D19,195))*0.18)+((95-IFERROR($E19,95))*0.10))),0))</x:f>
      </x:c>
      <x:c r="AB19" s="20" t="str">
        <x:f>IF($B19="","",ROUND(MAX(30,MIN(99,IFS(ISNUMBER(SEARCH("PG",UPPER(SUBSTITUTE($C19,"/","-")))),84,ISNUMBER(SEARCH("SG",UPPER(SUBSTITUTE($C19,"/","-")))),76,ISNUMBER(SEARCH("SF",UPPER(SUBSTITUTE($C19,"/","-")))),68,ISNUMBER(SEARCH("PF",UPPER(SUBSTITUTE($C19,"/","-")))),55,ISNUMBER(SEARCH("C",UPPER(SUBSTITUTE($C19,"/","-")))),42,TRUE,65)+2+((195-IFERROR($D19,195))*0.14)+((95-IFERROR($E19,95))*0.09))),0))</x:f>
      </x:c>
      <x:c r="AC19" s="20" t="str">
        <x:f>IF($B19="","",ROUND(MAX(30,MIN(99,IFS(ISNUMBER(SEARCH("C",UPPER(SUBSTITUTE($C19,"/","-")))),92,ISNUMBER(SEARCH("PF",UPPER(SUBSTITUTE($C19,"/","-")))),82,ISNUMBER(SEARCH("SF",UPPER(SUBSTITUTE($C19,"/","-")))),64,ISNUMBER(SEARCH("SG",UPPER(SUBSTITUTE($C19,"/","-")))),48,ISNUMBER(SEARCH("PG",UPPER(SUBSTITUTE($C19,"/","-")))),36,TRUE,60)+((IFERROR($E19,95)-95)*0.45)+((IFERROR($D19,195)-195)*0.10)+((IFERROR($F19,200)-200)*0.08))),0))</x:f>
      </x:c>
      <x:c r="AD19" s="20" t="str">
        <x:f>IF($B19="","",ROUND(MAX(30,MIN(99,65+((IFERROR($F19,200)-200)*0.22)+((IFERROR($D19,195)-195)*0.08)-((IFERROR($E19,95)-95)*0.07))),0))</x:f>
      </x:c>
      <x:c r="AE19" s="15" t="n">
        <x:f>IFERROR(='입력데이터'!S19,0)*0.4+IFERROR(='입력데이터'!AP19,0)*0.4+IFERROR(='입력데이터'!AO19,0)*0.5</x:f>
        <x:v>0</x:v>
      </x:c>
      <x:c r="AF19" s="15" t="n">
        <x:f>IFERROR(='입력데이터'!S19,0)*0.5+IFERROR(='입력데이터'!P19,0)*0.8+IFERROR(='입력데이터'!AG19,0)</x:f>
        <x:v>0</x:v>
      </x:c>
      <x:c r="AG19" s="15" t="n">
        <x:f>IFERROR(='입력데이터'!AJ19,0)*8+IFERROR(IFERROR(='입력데이터'!AJ19,0)/IFERROR(='입력데이터'!AK19,0),0)*30</x:f>
        <x:v>0</x:v>
      </x:c>
      <x:c r="AH19" s="15" t="n">
        <x:f>IFERROR(='입력데이터'!AJ19,0)*6+IFERROR(='입력데이터'!AH19,0)*4</x:f>
        <x:v>0</x:v>
      </x:c>
      <x:c r="AI19" s="15" t="n">
        <x:f>IFERROR(='입력데이터'!AP19,0)*0.4+IFERROR(='입력데이터'!AE19,0)*1.5+IFERROR(='입력데이터'!Q19,0)*1.5</x:f>
        <x:v>0</x:v>
      </x:c>
      <x:c r="AJ19" s="15" t="n">
        <x:f>MAX(0,IFERROR(='입력데이터'!P19,0)-IFERROR(='입력데이터'!Q19,0)*2-IFERROR(='입력데이터'!T19,0)*3-IFERROR(='입력데이터'!Z19,0))*1.5+IFERROR(='입력데이터'!Y19,0)*0.3</x:f>
        <x:v>0</x:v>
      </x:c>
      <x:c r="AK19" s="15" t="n">
        <x:f>IFERROR(='입력데이터'!V19,0)*0.6+IFERROR(='입력데이터'!U19,0)*2+IFERROR(='입력데이터'!T19,0)*3</x:f>
        <x:v>0</x:v>
      </x:c>
      <x:c r="AL19" s="15" t="n">
        <x:f>IFERROR(='입력데이터'!AB19,0)*0.7+IFERROR(='입력데이터'!AA19,0)*1.5</x:f>
        <x:v>0</x:v>
      </x:c>
      <x:c r="AM19" s="15" t="n">
        <x:f>IFERROR(='입력데이터'!AF19,0)*5+IFERROR(IFERROR(='입력데이터'!AF19,0)/IFERROR(='입력데이터'!AL19,0),0)*3+IFERROR(='입력데이터'!AT19,0)</x:f>
        <x:v>0</x:v>
      </x:c>
      <x:c r="AN19" s="15" t="n">
        <x:f>IFERROR(='입력데이터'!AF19,0)*3+IFERROR(='입력데이터'!AG19,0)*3+IFERROR(IFERROR(='입력데이터'!AF19,0)/IFERROR(='입력데이터'!AL19,0),0)*4</x:f>
        <x:v>0</x:v>
      </x:c>
      <x:c r="AO19" s="15" t="n">
        <x:f>IFERROR(='입력데이터'!AG19,0)*12+IFERROR(='입력데이터'!AU19,0)*6</x:f>
        <x:v>0</x:v>
      </x:c>
      <x:c r="AP19" s="15" t="n">
        <x:f>IFERROR(='입력데이터'!AH19,0)*14+IFERROR(='입력데이터'!AD19,0)</x:f>
        <x:v>0</x:v>
      </x:c>
      <x:c r="AQ19" s="15" t="n">
        <x:f>IFERROR(='입력데이터'!AC19,0)*10</x:f>
        <x:v>0</x:v>
      </x:c>
      <x:c r="AR19" s="15" t="n">
        <x:f>IFERROR(='입력데이터'!AD19,0)*7+IFERROR(='입력데이터'!AH19,0)*2</x:f>
        <x:v>0</x:v>
      </x:c>
      <x:c r="AS19" s="15" t="n">
        <x:f>IFERROR(='입력데이터'!AH19,0)*8+IFERROR(='입력데이터'!AD19,0)*2+IFERROR(='입력데이터'!AI19,0)*4</x:f>
        <x:v>0</x:v>
      </x:c>
      <x:c r="AT19" s="16" t="n">
        <x:f>IFERROR(='입력데이터'!AG19,0)*8+IFERROR(='입력데이터'!AI19,0)*5+IFERROR(='입력데이터'!AU19,0)*4</x:f>
        <x:v>0</x:v>
      </x:c>
    </x:row>
    <x:row r="20">
      <x:c r="A20" s="14" t="str">
        <x:f>IF('입력데이터'!$B20="","",'입력데이터'!A20)</x:f>
      </x:c>
      <x:c r="B20" s="15" t="str">
        <x:f>IF('입력데이터'!$B20="","",'입력데이터'!B20)</x:f>
      </x:c>
      <x:c r="C20" s="15" t="str">
        <x:f>IF('입력데이터'!$B20="","",'입력데이터'!K20)</x:f>
      </x:c>
      <x:c r="D20" s="15" t="str">
        <x:f>IF('입력데이터'!$B20="","",'입력데이터'!H20)</x:f>
      </x:c>
      <x:c r="E20" s="15" t="str">
        <x:f>IF('입력데이터'!$B20="","",'입력데이터'!I20)</x:f>
      </x:c>
      <x:c r="F20" s="15" t="str">
        <x:f>IF('입력데이터'!$B20="","",'입력데이터'!J20)</x:f>
      </x:c>
      <x:c r="G20" s="15" t="str">
        <x:f>IF('입력데이터'!$B20="","",'입력데이터'!L20)</x:f>
      </x:c>
      <x:c r="H20" s="15" t="str">
        <x:f>IF('입력데이터'!$B20="","",'입력데이터'!O20)</x:f>
      </x:c>
      <x:c r="I20" s="20" t="str">
        <x:f>IF($B20="", "", ROUND(MAX(30, MIN(99, IFERROR((AE20-MIN($AE$2:$AE$101))/(MAX($AE$2:$AE$101)-MIN($AE$2:$AE$101))*99,30))),0))</x:f>
      </x:c>
      <x:c r="J20" s="20" t="str">
        <x:f>IF($B20="", "", ROUND(MAX(30, MIN(99, IFERROR((AF20-MIN($AF$2:$AF$101))/(MAX($AF$2:$AF$101)-MIN($AF$2:$AF$101))*99,30))),0))</x:f>
      </x:c>
      <x:c r="K20" s="20" t="str">
        <x:f>IF($B20="", "", ROUND(MAX(30, MIN(99, IFERROR((AG20-MIN($AG$2:$AG$101))/(MAX($AG$2:$AG$101)-MIN($AG$2:$AG$101))*99,30))),0))</x:f>
      </x:c>
      <x:c r="L20" s="20" t="str">
        <x:f>IF($B20="", "", ROUND(MAX(30, MIN(99, IFERROR((AH20-MIN($AH$2:$AH$101))/(MAX($AH$2:$AH$101)-MIN($AH$2:$AH$101))*99,30))),0))</x:f>
      </x:c>
      <x:c r="M20" s="20" t="str">
        <x:f>IF($B20="", "", ROUND(MAX(30, MIN(99, IFERROR((AI20-MIN($AI$2:$AI$101))/(MAX($AI$2:$AI$101)-MIN($AI$2:$AI$101))*99,30))),0))</x:f>
      </x:c>
      <x:c r="N20" s="20" t="str">
        <x:f>IF($B20="", "", ROUND(MAX(30, MIN(99, IFERROR((AJ20-MIN($AJ$2:$AJ$101))/(MAX($AJ$2:$AJ$101)-MIN($AJ$2:$AJ$101))*99,30))),0))</x:f>
      </x:c>
      <x:c r="O20" s="20" t="str">
        <x:f>IF($B20="", "", ROUND(MAX(30, MIN(99, IFERROR((AK20-MIN($AK$2:$AK$101))/(MAX($AK$2:$AK$101)-MIN($AK$2:$AK$101))*99,30))),0))</x:f>
      </x:c>
      <x:c r="P20" s="20" t="str">
        <x:f>IF($B20="", "", ROUND(MAX(30, MIN(99, IFERROR((AL20-MIN($AL$2:$AL$101))/(MAX($AL$2:$AL$101)-MIN($AL$2:$AL$101))*99,30))),0))</x:f>
      </x:c>
      <x:c r="Q20" s="20" t="str">
        <x:f>IF($B20="", "", ROUND(MAX(30, MIN(99, IFERROR((AM20-MIN($AM$2:$AM$101))/(MAX($AM$2:$AM$101)-MIN($AM$2:$AM$101))*99,30))),0))</x:f>
      </x:c>
      <x:c r="R20" s="20" t="str">
        <x:f>IF($B20="", "", ROUND(MAX(30, MIN(99, IFERROR((AN20-MIN($AN$2:$AN$101))/(MAX($AN$2:$AN$101)-MIN($AN$2:$AN$101))*99,30))),0))</x:f>
      </x:c>
      <x:c r="S20" s="20" t="str">
        <x:f>IF($B20="", "", ROUND(MAX(30, MIN(99, IFERROR((AO20-MIN($AO$2:$AO$101))/(MAX($AO$2:$AO$101)-MIN($AO$2:$AO$101))*99,30))),0))</x:f>
      </x:c>
      <x:c r="T20" s="20" t="str">
        <x:f>IF($B20="", "", ROUND(MAX(30, MIN(99, IFERROR((AP20-MIN($AP$2:$AP$101))/(MAX($AP$2:$AP$101)-MIN($AP$2:$AP$101))*99,30))),0))</x:f>
      </x:c>
      <x:c r="U20" s="20" t="str">
        <x:f>IF($B20="", "", ROUND(MAX(30, MIN(99, IFERROR((AQ20-MIN($AQ$2:$AQ$101))/(MAX($AQ$2:$AQ$101)-MIN($AQ$2:$AQ$101))*99,30))),0))</x:f>
      </x:c>
      <x:c r="V20" s="20" t="str">
        <x:f>IF($B20="", "", ROUND(MAX(30, MIN(99, IFERROR((AR20-MIN($AR$2:$AR$101))/(MAX($AR$2:$AR$101)-MIN($AR$2:$AR$101))*99,30))),0))</x:f>
      </x:c>
      <x:c r="W20" s="20" t="str">
        <x:f>IF($B20="", "", ROUND(MAX(30, MIN(99, IFERROR((AS20-MIN($AS$2:$AS$101))/(MAX($AS$2:$AS$101)-MIN($AS$2:$AS$101))*99,30))),0))</x:f>
      </x:c>
      <x:c r="X20" s="20" t="str">
        <x:f>IF($B20="", "", ROUND(MAX(30, MIN(99, IFERROR((AT20-MIN($AT$2:$AT$101))/(MAX($AT$2:$AT$101)-MIN($AT$2:$AT$101))*99,30))),0))</x:f>
      </x:c>
      <x:c r="Y20" s="20" t="str">
        <x:f>IF($B20="","",ROUND(AVERAGE(I20:X20),0))</x:f>
      </x:c>
      <x:c r="Z20" s="20" t="str">
        <x:f>IF($B20="","",ROUND(MAX(30,MIN(99,IFS(ISNUMBER(SEARCH("PG",UPPER(SUBSTITUTE($C20,"/","-")))),84,ISNUMBER(SEARCH("SG",UPPER(SUBSTITUTE($C20,"/","-")))),76,ISNUMBER(SEARCH("SF",UPPER(SUBSTITUTE($C20,"/","-")))),68,ISNUMBER(SEARCH("PF",UPPER(SUBSTITUTE($C20,"/","-")))),55,ISNUMBER(SEARCH("C",UPPER(SUBSTITUTE($C20,"/","-")))),42,TRUE,65)+((195-IFERROR($D20,195))*0.15)+((95-IFERROR($E20,95))*0.08))),0))</x:f>
      </x:c>
      <x:c r="AA20" s="20" t="str">
        <x:f>IF($B20="","",ROUND(MAX(30,MIN(99,IFS(ISNUMBER(SEARCH("PG",UPPER(SUBSTITUTE($C20,"/","-")))),84,ISNUMBER(SEARCH("SG",UPPER(SUBSTITUTE($C20,"/","-")))),76,ISNUMBER(SEARCH("SF",UPPER(SUBSTITUTE($C20,"/","-")))),68,ISNUMBER(SEARCH("PF",UPPER(SUBSTITUTE($C20,"/","-")))),55,ISNUMBER(SEARCH("C",UPPER(SUBSTITUTE($C20,"/","-")))),42,TRUE,65)+((195-IFERROR($D20,195))*0.18)+((95-IFERROR($E20,95))*0.10))),0))</x:f>
      </x:c>
      <x:c r="AB20" s="20" t="str">
        <x:f>IF($B20="","",ROUND(MAX(30,MIN(99,IFS(ISNUMBER(SEARCH("PG",UPPER(SUBSTITUTE($C20,"/","-")))),84,ISNUMBER(SEARCH("SG",UPPER(SUBSTITUTE($C20,"/","-")))),76,ISNUMBER(SEARCH("SF",UPPER(SUBSTITUTE($C20,"/","-")))),68,ISNUMBER(SEARCH("PF",UPPER(SUBSTITUTE($C20,"/","-")))),55,ISNUMBER(SEARCH("C",UPPER(SUBSTITUTE($C20,"/","-")))),42,TRUE,65)+2+((195-IFERROR($D20,195))*0.14)+((95-IFERROR($E20,95))*0.09))),0))</x:f>
      </x:c>
      <x:c r="AC20" s="20" t="str">
        <x:f>IF($B20="","",ROUND(MAX(30,MIN(99,IFS(ISNUMBER(SEARCH("C",UPPER(SUBSTITUTE($C20,"/","-")))),92,ISNUMBER(SEARCH("PF",UPPER(SUBSTITUTE($C20,"/","-")))),82,ISNUMBER(SEARCH("SF",UPPER(SUBSTITUTE($C20,"/","-")))),64,ISNUMBER(SEARCH("SG",UPPER(SUBSTITUTE($C20,"/","-")))),48,ISNUMBER(SEARCH("PG",UPPER(SUBSTITUTE($C20,"/","-")))),36,TRUE,60)+((IFERROR($E20,95)-95)*0.45)+((IFERROR($D20,195)-195)*0.10)+((IFERROR($F20,200)-200)*0.08))),0))</x:f>
      </x:c>
      <x:c r="AD20" s="20" t="str">
        <x:f>IF($B20="","",ROUND(MAX(30,MIN(99,65+((IFERROR($F20,200)-200)*0.22)+((IFERROR($D20,195)-195)*0.08)-((IFERROR($E20,95)-95)*0.07))),0))</x:f>
      </x:c>
      <x:c r="AE20" s="15" t="n">
        <x:f>IFERROR(='입력데이터'!S20,0)*0.4+IFERROR(='입력데이터'!AP20,0)*0.4+IFERROR(='입력데이터'!AO20,0)*0.5</x:f>
        <x:v>0</x:v>
      </x:c>
      <x:c r="AF20" s="15" t="n">
        <x:f>IFERROR(='입력데이터'!S20,0)*0.5+IFERROR(='입력데이터'!P20,0)*0.8+IFERROR(='입력데이터'!AG20,0)</x:f>
        <x:v>0</x:v>
      </x:c>
      <x:c r="AG20" s="15" t="n">
        <x:f>IFERROR(='입력데이터'!AJ20,0)*8+IFERROR(IFERROR(='입력데이터'!AJ20,0)/IFERROR(='입력데이터'!AK20,0),0)*30</x:f>
        <x:v>0</x:v>
      </x:c>
      <x:c r="AH20" s="15" t="n">
        <x:f>IFERROR(='입력데이터'!AJ20,0)*6+IFERROR(='입력데이터'!AH20,0)*4</x:f>
        <x:v>0</x:v>
      </x:c>
      <x:c r="AI20" s="15" t="n">
        <x:f>IFERROR(='입력데이터'!AP20,0)*0.4+IFERROR(='입력데이터'!AE20,0)*1.5+IFERROR(='입력데이터'!Q20,0)*1.5</x:f>
        <x:v>0</x:v>
      </x:c>
      <x:c r="AJ20" s="15" t="n">
        <x:f>MAX(0,IFERROR(='입력데이터'!P20,0)-IFERROR(='입력데이터'!Q20,0)*2-IFERROR(='입력데이터'!T20,0)*3-IFERROR(='입력데이터'!Z20,0))*1.5+IFERROR(='입력데이터'!Y20,0)*0.3</x:f>
        <x:v>0</x:v>
      </x:c>
      <x:c r="AK20" s="15" t="n">
        <x:f>IFERROR(='입력데이터'!V20,0)*0.6+IFERROR(='입력데이터'!U20,0)*2+IFERROR(='입력데이터'!T20,0)*3</x:f>
        <x:v>0</x:v>
      </x:c>
      <x:c r="AL20" s="15" t="n">
        <x:f>IFERROR(='입력데이터'!AB20,0)*0.7+IFERROR(='입력데이터'!AA20,0)*1.5</x:f>
        <x:v>0</x:v>
      </x:c>
      <x:c r="AM20" s="15" t="n">
        <x:f>IFERROR(='입력데이터'!AF20,0)*5+IFERROR(IFERROR(='입력데이터'!AF20,0)/IFERROR(='입력데이터'!AL20,0),0)*3+IFERROR(='입력데이터'!AT20,0)</x:f>
        <x:v>0</x:v>
      </x:c>
      <x:c r="AN20" s="15" t="n">
        <x:f>IFERROR(='입력데이터'!AF20,0)*3+IFERROR(='입력데이터'!AG20,0)*3+IFERROR(IFERROR(='입력데이터'!AF20,0)/IFERROR(='입력데이터'!AL20,0),0)*4</x:f>
        <x:v>0</x:v>
      </x:c>
      <x:c r="AO20" s="15" t="n">
        <x:f>IFERROR(='입력데이터'!AG20,0)*12+IFERROR(='입력데이터'!AU20,0)*6</x:f>
        <x:v>0</x:v>
      </x:c>
      <x:c r="AP20" s="15" t="n">
        <x:f>IFERROR(='입력데이터'!AH20,0)*14+IFERROR(='입력데이터'!AD20,0)</x:f>
        <x:v>0</x:v>
      </x:c>
      <x:c r="AQ20" s="15" t="n">
        <x:f>IFERROR(='입력데이터'!AC20,0)*10</x:f>
        <x:v>0</x:v>
      </x:c>
      <x:c r="AR20" s="15" t="n">
        <x:f>IFERROR(='입력데이터'!AD20,0)*7+IFERROR(='입력데이터'!AH20,0)*2</x:f>
        <x:v>0</x:v>
      </x:c>
      <x:c r="AS20" s="15" t="n">
        <x:f>IFERROR(='입력데이터'!AH20,0)*8+IFERROR(='입력데이터'!AD20,0)*2+IFERROR(='입력데이터'!AI20,0)*4</x:f>
        <x:v>0</x:v>
      </x:c>
      <x:c r="AT20" s="16" t="n">
        <x:f>IFERROR(='입력데이터'!AG20,0)*8+IFERROR(='입력데이터'!AI20,0)*5+IFERROR(='입력데이터'!AU20,0)*4</x:f>
        <x:v>0</x:v>
      </x:c>
    </x:row>
    <x:row r="21">
      <x:c r="A21" s="14" t="str">
        <x:f>IF('입력데이터'!$B21="","",'입력데이터'!A21)</x:f>
      </x:c>
      <x:c r="B21" s="15" t="str">
        <x:f>IF('입력데이터'!$B21="","",'입력데이터'!B21)</x:f>
      </x:c>
      <x:c r="C21" s="15" t="str">
        <x:f>IF('입력데이터'!$B21="","",'입력데이터'!K21)</x:f>
      </x:c>
      <x:c r="D21" s="15" t="str">
        <x:f>IF('입력데이터'!$B21="","",'입력데이터'!H21)</x:f>
      </x:c>
      <x:c r="E21" s="15" t="str">
        <x:f>IF('입력데이터'!$B21="","",'입력데이터'!I21)</x:f>
      </x:c>
      <x:c r="F21" s="15" t="str">
        <x:f>IF('입력데이터'!$B21="","",'입력데이터'!J21)</x:f>
      </x:c>
      <x:c r="G21" s="15" t="str">
        <x:f>IF('입력데이터'!$B21="","",'입력데이터'!L21)</x:f>
      </x:c>
      <x:c r="H21" s="15" t="str">
        <x:f>IF('입력데이터'!$B21="","",'입력데이터'!O21)</x:f>
      </x:c>
      <x:c r="I21" s="20" t="str">
        <x:f>IF($B21="", "", ROUND(MAX(30, MIN(99, IFERROR((AE21-MIN($AE$2:$AE$101))/(MAX($AE$2:$AE$101)-MIN($AE$2:$AE$101))*99,30))),0))</x:f>
      </x:c>
      <x:c r="J21" s="20" t="str">
        <x:f>IF($B21="", "", ROUND(MAX(30, MIN(99, IFERROR((AF21-MIN($AF$2:$AF$101))/(MAX($AF$2:$AF$101)-MIN($AF$2:$AF$101))*99,30))),0))</x:f>
      </x:c>
      <x:c r="K21" s="20" t="str">
        <x:f>IF($B21="", "", ROUND(MAX(30, MIN(99, IFERROR((AG21-MIN($AG$2:$AG$101))/(MAX($AG$2:$AG$101)-MIN($AG$2:$AG$101))*99,30))),0))</x:f>
      </x:c>
      <x:c r="L21" s="20" t="str">
        <x:f>IF($B21="", "", ROUND(MAX(30, MIN(99, IFERROR((AH21-MIN($AH$2:$AH$101))/(MAX($AH$2:$AH$101)-MIN($AH$2:$AH$101))*99,30))),0))</x:f>
      </x:c>
      <x:c r="M21" s="20" t="str">
        <x:f>IF($B21="", "", ROUND(MAX(30, MIN(99, IFERROR((AI21-MIN($AI$2:$AI$101))/(MAX($AI$2:$AI$101)-MIN($AI$2:$AI$101))*99,30))),0))</x:f>
      </x:c>
      <x:c r="N21" s="20" t="str">
        <x:f>IF($B21="", "", ROUND(MAX(30, MIN(99, IFERROR((AJ21-MIN($AJ$2:$AJ$101))/(MAX($AJ$2:$AJ$101)-MIN($AJ$2:$AJ$101))*99,30))),0))</x:f>
      </x:c>
      <x:c r="O21" s="20" t="str">
        <x:f>IF($B21="", "", ROUND(MAX(30, MIN(99, IFERROR((AK21-MIN($AK$2:$AK$101))/(MAX($AK$2:$AK$101)-MIN($AK$2:$AK$101))*99,30))),0))</x:f>
      </x:c>
      <x:c r="P21" s="20" t="str">
        <x:f>IF($B21="", "", ROUND(MAX(30, MIN(99, IFERROR((AL21-MIN($AL$2:$AL$101))/(MAX($AL$2:$AL$101)-MIN($AL$2:$AL$101))*99,30))),0))</x:f>
      </x:c>
      <x:c r="Q21" s="20" t="str">
        <x:f>IF($B21="", "", ROUND(MAX(30, MIN(99, IFERROR((AM21-MIN($AM$2:$AM$101))/(MAX($AM$2:$AM$101)-MIN($AM$2:$AM$101))*99,30))),0))</x:f>
      </x:c>
      <x:c r="R21" s="20" t="str">
        <x:f>IF($B21="", "", ROUND(MAX(30, MIN(99, IFERROR((AN21-MIN($AN$2:$AN$101))/(MAX($AN$2:$AN$101)-MIN($AN$2:$AN$101))*99,30))),0))</x:f>
      </x:c>
      <x:c r="S21" s="20" t="str">
        <x:f>IF($B21="", "", ROUND(MAX(30, MIN(99, IFERROR((AO21-MIN($AO$2:$AO$101))/(MAX($AO$2:$AO$101)-MIN($AO$2:$AO$101))*99,30))),0))</x:f>
      </x:c>
      <x:c r="T21" s="20" t="str">
        <x:f>IF($B21="", "", ROUND(MAX(30, MIN(99, IFERROR((AP21-MIN($AP$2:$AP$101))/(MAX($AP$2:$AP$101)-MIN($AP$2:$AP$101))*99,30))),0))</x:f>
      </x:c>
      <x:c r="U21" s="20" t="str">
        <x:f>IF($B21="", "", ROUND(MAX(30, MIN(99, IFERROR((AQ21-MIN($AQ$2:$AQ$101))/(MAX($AQ$2:$AQ$101)-MIN($AQ$2:$AQ$101))*99,30))),0))</x:f>
      </x:c>
      <x:c r="V21" s="20" t="str">
        <x:f>IF($B21="", "", ROUND(MAX(30, MIN(99, IFERROR((AR21-MIN($AR$2:$AR$101))/(MAX($AR$2:$AR$101)-MIN($AR$2:$AR$101))*99,30))),0))</x:f>
      </x:c>
      <x:c r="W21" s="20" t="str">
        <x:f>IF($B21="", "", ROUND(MAX(30, MIN(99, IFERROR((AS21-MIN($AS$2:$AS$101))/(MAX($AS$2:$AS$101)-MIN($AS$2:$AS$101))*99,30))),0))</x:f>
      </x:c>
      <x:c r="X21" s="20" t="str">
        <x:f>IF($B21="", "", ROUND(MAX(30, MIN(99, IFERROR((AT21-MIN($AT$2:$AT$101))/(MAX($AT$2:$AT$101)-MIN($AT$2:$AT$101))*99,30))),0))</x:f>
      </x:c>
      <x:c r="Y21" s="20" t="str">
        <x:f>IF($B21="","",ROUND(AVERAGE(I21:X21),0))</x:f>
      </x:c>
      <x:c r="Z21" s="20" t="str">
        <x:f>IF($B21="","",ROUND(MAX(30,MIN(99,IFS(ISNUMBER(SEARCH("PG",UPPER(SUBSTITUTE($C21,"/","-")))),84,ISNUMBER(SEARCH("SG",UPPER(SUBSTITUTE($C21,"/","-")))),76,ISNUMBER(SEARCH("SF",UPPER(SUBSTITUTE($C21,"/","-")))),68,ISNUMBER(SEARCH("PF",UPPER(SUBSTITUTE($C21,"/","-")))),55,ISNUMBER(SEARCH("C",UPPER(SUBSTITUTE($C21,"/","-")))),42,TRUE,65)+((195-IFERROR($D21,195))*0.15)+((95-IFERROR($E21,95))*0.08))),0))</x:f>
      </x:c>
      <x:c r="AA21" s="20" t="str">
        <x:f>IF($B21="","",ROUND(MAX(30,MIN(99,IFS(ISNUMBER(SEARCH("PG",UPPER(SUBSTITUTE($C21,"/","-")))),84,ISNUMBER(SEARCH("SG",UPPER(SUBSTITUTE($C21,"/","-")))),76,ISNUMBER(SEARCH("SF",UPPER(SUBSTITUTE($C21,"/","-")))),68,ISNUMBER(SEARCH("PF",UPPER(SUBSTITUTE($C21,"/","-")))),55,ISNUMBER(SEARCH("C",UPPER(SUBSTITUTE($C21,"/","-")))),42,TRUE,65)+((195-IFERROR($D21,195))*0.18)+((95-IFERROR($E21,95))*0.10))),0))</x:f>
      </x:c>
      <x:c r="AB21" s="20" t="str">
        <x:f>IF($B21="","",ROUND(MAX(30,MIN(99,IFS(ISNUMBER(SEARCH("PG",UPPER(SUBSTITUTE($C21,"/","-")))),84,ISNUMBER(SEARCH("SG",UPPER(SUBSTITUTE($C21,"/","-")))),76,ISNUMBER(SEARCH("SF",UPPER(SUBSTITUTE($C21,"/","-")))),68,ISNUMBER(SEARCH("PF",UPPER(SUBSTITUTE($C21,"/","-")))),55,ISNUMBER(SEARCH("C",UPPER(SUBSTITUTE($C21,"/","-")))),42,TRUE,65)+2+((195-IFERROR($D21,195))*0.14)+((95-IFERROR($E21,95))*0.09))),0))</x:f>
      </x:c>
      <x:c r="AC21" s="20" t="str">
        <x:f>IF($B21="","",ROUND(MAX(30,MIN(99,IFS(ISNUMBER(SEARCH("C",UPPER(SUBSTITUTE($C21,"/","-")))),92,ISNUMBER(SEARCH("PF",UPPER(SUBSTITUTE($C21,"/","-")))),82,ISNUMBER(SEARCH("SF",UPPER(SUBSTITUTE($C21,"/","-")))),64,ISNUMBER(SEARCH("SG",UPPER(SUBSTITUTE($C21,"/","-")))),48,ISNUMBER(SEARCH("PG",UPPER(SUBSTITUTE($C21,"/","-")))),36,TRUE,60)+((IFERROR($E21,95)-95)*0.45)+((IFERROR($D21,195)-195)*0.10)+((IFERROR($F21,200)-200)*0.08))),0))</x:f>
      </x:c>
      <x:c r="AD21" s="20" t="str">
        <x:f>IF($B21="","",ROUND(MAX(30,MIN(99,65+((IFERROR($F21,200)-200)*0.22)+((IFERROR($D21,195)-195)*0.08)-((IFERROR($E21,95)-95)*0.07))),0))</x:f>
      </x:c>
      <x:c r="AE21" s="15" t="n">
        <x:f>IFERROR(='입력데이터'!S21,0)*0.4+IFERROR(='입력데이터'!AP21,0)*0.4+IFERROR(='입력데이터'!AO21,0)*0.5</x:f>
        <x:v>0</x:v>
      </x:c>
      <x:c r="AF21" s="15" t="n">
        <x:f>IFERROR(='입력데이터'!S21,0)*0.5+IFERROR(='입력데이터'!P21,0)*0.8+IFERROR(='입력데이터'!AG21,0)</x:f>
        <x:v>0</x:v>
      </x:c>
      <x:c r="AG21" s="15" t="n">
        <x:f>IFERROR(='입력데이터'!AJ21,0)*8+IFERROR(IFERROR(='입력데이터'!AJ21,0)/IFERROR(='입력데이터'!AK21,0),0)*30</x:f>
        <x:v>0</x:v>
      </x:c>
      <x:c r="AH21" s="15" t="n">
        <x:f>IFERROR(='입력데이터'!AJ21,0)*6+IFERROR(='입력데이터'!AH21,0)*4</x:f>
        <x:v>0</x:v>
      </x:c>
      <x:c r="AI21" s="15" t="n">
        <x:f>IFERROR(='입력데이터'!AP21,0)*0.4+IFERROR(='입력데이터'!AE21,0)*1.5+IFERROR(='입력데이터'!Q21,0)*1.5</x:f>
        <x:v>0</x:v>
      </x:c>
      <x:c r="AJ21" s="15" t="n">
        <x:f>MAX(0,IFERROR(='입력데이터'!P21,0)-IFERROR(='입력데이터'!Q21,0)*2-IFERROR(='입력데이터'!T21,0)*3-IFERROR(='입력데이터'!Z21,0))*1.5+IFERROR(='입력데이터'!Y21,0)*0.3</x:f>
        <x:v>0</x:v>
      </x:c>
      <x:c r="AK21" s="15" t="n">
        <x:f>IFERROR(='입력데이터'!V21,0)*0.6+IFERROR(='입력데이터'!U21,0)*2+IFERROR(='입력데이터'!T21,0)*3</x:f>
        <x:v>0</x:v>
      </x:c>
      <x:c r="AL21" s="15" t="n">
        <x:f>IFERROR(='입력데이터'!AB21,0)*0.7+IFERROR(='입력데이터'!AA21,0)*1.5</x:f>
        <x:v>0</x:v>
      </x:c>
      <x:c r="AM21" s="15" t="n">
        <x:f>IFERROR(='입력데이터'!AF21,0)*5+IFERROR(IFERROR(='입력데이터'!AF21,0)/IFERROR(='입력데이터'!AL21,0),0)*3+IFERROR(='입력데이터'!AT21,0)</x:f>
        <x:v>0</x:v>
      </x:c>
      <x:c r="AN21" s="15" t="n">
        <x:f>IFERROR(='입력데이터'!AF21,0)*3+IFERROR(='입력데이터'!AG21,0)*3+IFERROR(IFERROR(='입력데이터'!AF21,0)/IFERROR(='입력데이터'!AL21,0),0)*4</x:f>
        <x:v>0</x:v>
      </x:c>
      <x:c r="AO21" s="15" t="n">
        <x:f>IFERROR(='입력데이터'!AG21,0)*12+IFERROR(='입력데이터'!AU21,0)*6</x:f>
        <x:v>0</x:v>
      </x:c>
      <x:c r="AP21" s="15" t="n">
        <x:f>IFERROR(='입력데이터'!AH21,0)*14+IFERROR(='입력데이터'!AD21,0)</x:f>
        <x:v>0</x:v>
      </x:c>
      <x:c r="AQ21" s="15" t="n">
        <x:f>IFERROR(='입력데이터'!AC21,0)*10</x:f>
        <x:v>0</x:v>
      </x:c>
      <x:c r="AR21" s="15" t="n">
        <x:f>IFERROR(='입력데이터'!AD21,0)*7+IFERROR(='입력데이터'!AH21,0)*2</x:f>
        <x:v>0</x:v>
      </x:c>
      <x:c r="AS21" s="15" t="n">
        <x:f>IFERROR(='입력데이터'!AH21,0)*8+IFERROR(='입력데이터'!AD21,0)*2+IFERROR(='입력데이터'!AI21,0)*4</x:f>
        <x:v>0</x:v>
      </x:c>
      <x:c r="AT21" s="16" t="n">
        <x:f>IFERROR(='입력데이터'!AG21,0)*8+IFERROR(='입력데이터'!AI21,0)*5+IFERROR(='입력데이터'!AU21,0)*4</x:f>
        <x:v>0</x:v>
      </x:c>
    </x:row>
    <x:row r="22">
      <x:c r="A22" s="14" t="str">
        <x:f>IF('입력데이터'!$B22="","",'입력데이터'!A22)</x:f>
      </x:c>
      <x:c r="B22" s="15" t="str">
        <x:f>IF('입력데이터'!$B22="","",'입력데이터'!B22)</x:f>
      </x:c>
      <x:c r="C22" s="15" t="str">
        <x:f>IF('입력데이터'!$B22="","",'입력데이터'!K22)</x:f>
      </x:c>
      <x:c r="D22" s="15" t="str">
        <x:f>IF('입력데이터'!$B22="","",'입력데이터'!H22)</x:f>
      </x:c>
      <x:c r="E22" s="15" t="str">
        <x:f>IF('입력데이터'!$B22="","",'입력데이터'!I22)</x:f>
      </x:c>
      <x:c r="F22" s="15" t="str">
        <x:f>IF('입력데이터'!$B22="","",'입력데이터'!J22)</x:f>
      </x:c>
      <x:c r="G22" s="15" t="str">
        <x:f>IF('입력데이터'!$B22="","",'입력데이터'!L22)</x:f>
      </x:c>
      <x:c r="H22" s="15" t="str">
        <x:f>IF('입력데이터'!$B22="","",'입력데이터'!O22)</x:f>
      </x:c>
      <x:c r="I22" s="20" t="str">
        <x:f>IF($B22="", "", ROUND(MAX(30, MIN(99, IFERROR((AE22-MIN($AE$2:$AE$101))/(MAX($AE$2:$AE$101)-MIN($AE$2:$AE$101))*99,30))),0))</x:f>
      </x:c>
      <x:c r="J22" s="20" t="str">
        <x:f>IF($B22="", "", ROUND(MAX(30, MIN(99, IFERROR((AF22-MIN($AF$2:$AF$101))/(MAX($AF$2:$AF$101)-MIN($AF$2:$AF$101))*99,30))),0))</x:f>
      </x:c>
      <x:c r="K22" s="20" t="str">
        <x:f>IF($B22="", "", ROUND(MAX(30, MIN(99, IFERROR((AG22-MIN($AG$2:$AG$101))/(MAX($AG$2:$AG$101)-MIN($AG$2:$AG$101))*99,30))),0))</x:f>
      </x:c>
      <x:c r="L22" s="20" t="str">
        <x:f>IF($B22="", "", ROUND(MAX(30, MIN(99, IFERROR((AH22-MIN($AH$2:$AH$101))/(MAX($AH$2:$AH$101)-MIN($AH$2:$AH$101))*99,30))),0))</x:f>
      </x:c>
      <x:c r="M22" s="20" t="str">
        <x:f>IF($B22="", "", ROUND(MAX(30, MIN(99, IFERROR((AI22-MIN($AI$2:$AI$101))/(MAX($AI$2:$AI$101)-MIN($AI$2:$AI$101))*99,30))),0))</x:f>
      </x:c>
      <x:c r="N22" s="20" t="str">
        <x:f>IF($B22="", "", ROUND(MAX(30, MIN(99, IFERROR((AJ22-MIN($AJ$2:$AJ$101))/(MAX($AJ$2:$AJ$101)-MIN($AJ$2:$AJ$101))*99,30))),0))</x:f>
      </x:c>
      <x:c r="O22" s="20" t="str">
        <x:f>IF($B22="", "", ROUND(MAX(30, MIN(99, IFERROR((AK22-MIN($AK$2:$AK$101))/(MAX($AK$2:$AK$101)-MIN($AK$2:$AK$101))*99,30))),0))</x:f>
      </x:c>
      <x:c r="P22" s="20" t="str">
        <x:f>IF($B22="", "", ROUND(MAX(30, MIN(99, IFERROR((AL22-MIN($AL$2:$AL$101))/(MAX($AL$2:$AL$101)-MIN($AL$2:$AL$101))*99,30))),0))</x:f>
      </x:c>
      <x:c r="Q22" s="20" t="str">
        <x:f>IF($B22="", "", ROUND(MAX(30, MIN(99, IFERROR((AM22-MIN($AM$2:$AM$101))/(MAX($AM$2:$AM$101)-MIN($AM$2:$AM$101))*99,30))),0))</x:f>
      </x:c>
      <x:c r="R22" s="20" t="str">
        <x:f>IF($B22="", "", ROUND(MAX(30, MIN(99, IFERROR((AN22-MIN($AN$2:$AN$101))/(MAX($AN$2:$AN$101)-MIN($AN$2:$AN$101))*99,30))),0))</x:f>
      </x:c>
      <x:c r="S22" s="20" t="str">
        <x:f>IF($B22="", "", ROUND(MAX(30, MIN(99, IFERROR((AO22-MIN($AO$2:$AO$101))/(MAX($AO$2:$AO$101)-MIN($AO$2:$AO$101))*99,30))),0))</x:f>
      </x:c>
      <x:c r="T22" s="20" t="str">
        <x:f>IF($B22="", "", ROUND(MAX(30, MIN(99, IFERROR((AP22-MIN($AP$2:$AP$101))/(MAX($AP$2:$AP$101)-MIN($AP$2:$AP$101))*99,30))),0))</x:f>
      </x:c>
      <x:c r="U22" s="20" t="str">
        <x:f>IF($B22="", "", ROUND(MAX(30, MIN(99, IFERROR((AQ22-MIN($AQ$2:$AQ$101))/(MAX($AQ$2:$AQ$101)-MIN($AQ$2:$AQ$101))*99,30))),0))</x:f>
      </x:c>
      <x:c r="V22" s="20" t="str">
        <x:f>IF($B22="", "", ROUND(MAX(30, MIN(99, IFERROR((AR22-MIN($AR$2:$AR$101))/(MAX($AR$2:$AR$101)-MIN($AR$2:$AR$101))*99,30))),0))</x:f>
      </x:c>
      <x:c r="W22" s="20" t="str">
        <x:f>IF($B22="", "", ROUND(MAX(30, MIN(99, IFERROR((AS22-MIN($AS$2:$AS$101))/(MAX($AS$2:$AS$101)-MIN($AS$2:$AS$101))*99,30))),0))</x:f>
      </x:c>
      <x:c r="X22" s="20" t="str">
        <x:f>IF($B22="", "", ROUND(MAX(30, MIN(99, IFERROR((AT22-MIN($AT$2:$AT$101))/(MAX($AT$2:$AT$101)-MIN($AT$2:$AT$101))*99,30))),0))</x:f>
      </x:c>
      <x:c r="Y22" s="20" t="str">
        <x:f>IF($B22="","",ROUND(AVERAGE(I22:X22),0))</x:f>
      </x:c>
      <x:c r="Z22" s="20" t="str">
        <x:f>IF($B22="","",ROUND(MAX(30,MIN(99,IFS(ISNUMBER(SEARCH("PG",UPPER(SUBSTITUTE($C22,"/","-")))),84,ISNUMBER(SEARCH("SG",UPPER(SUBSTITUTE($C22,"/","-")))),76,ISNUMBER(SEARCH("SF",UPPER(SUBSTITUTE($C22,"/","-")))),68,ISNUMBER(SEARCH("PF",UPPER(SUBSTITUTE($C22,"/","-")))),55,ISNUMBER(SEARCH("C",UPPER(SUBSTITUTE($C22,"/","-")))),42,TRUE,65)+((195-IFERROR($D22,195))*0.15)+((95-IFERROR($E22,95))*0.08))),0))</x:f>
      </x:c>
      <x:c r="AA22" s="20" t="str">
        <x:f>IF($B22="","",ROUND(MAX(30,MIN(99,IFS(ISNUMBER(SEARCH("PG",UPPER(SUBSTITUTE($C22,"/","-")))),84,ISNUMBER(SEARCH("SG",UPPER(SUBSTITUTE($C22,"/","-")))),76,ISNUMBER(SEARCH("SF",UPPER(SUBSTITUTE($C22,"/","-")))),68,ISNUMBER(SEARCH("PF",UPPER(SUBSTITUTE($C22,"/","-")))),55,ISNUMBER(SEARCH("C",UPPER(SUBSTITUTE($C22,"/","-")))),42,TRUE,65)+((195-IFERROR($D22,195))*0.18)+((95-IFERROR($E22,95))*0.10))),0))</x:f>
      </x:c>
      <x:c r="AB22" s="20" t="str">
        <x:f>IF($B22="","",ROUND(MAX(30,MIN(99,IFS(ISNUMBER(SEARCH("PG",UPPER(SUBSTITUTE($C22,"/","-")))),84,ISNUMBER(SEARCH("SG",UPPER(SUBSTITUTE($C22,"/","-")))),76,ISNUMBER(SEARCH("SF",UPPER(SUBSTITUTE($C22,"/","-")))),68,ISNUMBER(SEARCH("PF",UPPER(SUBSTITUTE($C22,"/","-")))),55,ISNUMBER(SEARCH("C",UPPER(SUBSTITUTE($C22,"/","-")))),42,TRUE,65)+2+((195-IFERROR($D22,195))*0.14)+((95-IFERROR($E22,95))*0.09))),0))</x:f>
      </x:c>
      <x:c r="AC22" s="20" t="str">
        <x:f>IF($B22="","",ROUND(MAX(30,MIN(99,IFS(ISNUMBER(SEARCH("C",UPPER(SUBSTITUTE($C22,"/","-")))),92,ISNUMBER(SEARCH("PF",UPPER(SUBSTITUTE($C22,"/","-")))),82,ISNUMBER(SEARCH("SF",UPPER(SUBSTITUTE($C22,"/","-")))),64,ISNUMBER(SEARCH("SG",UPPER(SUBSTITUTE($C22,"/","-")))),48,ISNUMBER(SEARCH("PG",UPPER(SUBSTITUTE($C22,"/","-")))),36,TRUE,60)+((IFERROR($E22,95)-95)*0.45)+((IFERROR($D22,195)-195)*0.10)+((IFERROR($F22,200)-200)*0.08))),0))</x:f>
      </x:c>
      <x:c r="AD22" s="20" t="str">
        <x:f>IF($B22="","",ROUND(MAX(30,MIN(99,65+((IFERROR($F22,200)-200)*0.22)+((IFERROR($D22,195)-195)*0.08)-((IFERROR($E22,95)-95)*0.07))),0))</x:f>
      </x:c>
      <x:c r="AE22" s="15" t="n">
        <x:f>IFERROR(='입력데이터'!S22,0)*0.4+IFERROR(='입력데이터'!AP22,0)*0.4+IFERROR(='입력데이터'!AO22,0)*0.5</x:f>
        <x:v>0</x:v>
      </x:c>
      <x:c r="AF22" s="15" t="n">
        <x:f>IFERROR(='입력데이터'!S22,0)*0.5+IFERROR(='입력데이터'!P22,0)*0.8+IFERROR(='입력데이터'!AG22,0)</x:f>
        <x:v>0</x:v>
      </x:c>
      <x:c r="AG22" s="15" t="n">
        <x:f>IFERROR(='입력데이터'!AJ22,0)*8+IFERROR(IFERROR(='입력데이터'!AJ22,0)/IFERROR(='입력데이터'!AK22,0),0)*30</x:f>
        <x:v>0</x:v>
      </x:c>
      <x:c r="AH22" s="15" t="n">
        <x:f>IFERROR(='입력데이터'!AJ22,0)*6+IFERROR(='입력데이터'!AH22,0)*4</x:f>
        <x:v>0</x:v>
      </x:c>
      <x:c r="AI22" s="15" t="n">
        <x:f>IFERROR(='입력데이터'!AP22,0)*0.4+IFERROR(='입력데이터'!AE22,0)*1.5+IFERROR(='입력데이터'!Q22,0)*1.5</x:f>
        <x:v>0</x:v>
      </x:c>
      <x:c r="AJ22" s="15" t="n">
        <x:f>MAX(0,IFERROR(='입력데이터'!P22,0)-IFERROR(='입력데이터'!Q22,0)*2-IFERROR(='입력데이터'!T22,0)*3-IFERROR(='입력데이터'!Z22,0))*1.5+IFERROR(='입력데이터'!Y22,0)*0.3</x:f>
        <x:v>0</x:v>
      </x:c>
      <x:c r="AK22" s="15" t="n">
        <x:f>IFERROR(='입력데이터'!V22,0)*0.6+IFERROR(='입력데이터'!U22,0)*2+IFERROR(='입력데이터'!T22,0)*3</x:f>
        <x:v>0</x:v>
      </x:c>
      <x:c r="AL22" s="15" t="n">
        <x:f>IFERROR(='입력데이터'!AB22,0)*0.7+IFERROR(='입력데이터'!AA22,0)*1.5</x:f>
        <x:v>0</x:v>
      </x:c>
      <x:c r="AM22" s="15" t="n">
        <x:f>IFERROR(='입력데이터'!AF22,0)*5+IFERROR(IFERROR(='입력데이터'!AF22,0)/IFERROR(='입력데이터'!AL22,0),0)*3+IFERROR(='입력데이터'!AT22,0)</x:f>
        <x:v>0</x:v>
      </x:c>
      <x:c r="AN22" s="15" t="n">
        <x:f>IFERROR(='입력데이터'!AF22,0)*3+IFERROR(='입력데이터'!AG22,0)*3+IFERROR(IFERROR(='입력데이터'!AF22,0)/IFERROR(='입력데이터'!AL22,0),0)*4</x:f>
        <x:v>0</x:v>
      </x:c>
      <x:c r="AO22" s="15" t="n">
        <x:f>IFERROR(='입력데이터'!AG22,0)*12+IFERROR(='입력데이터'!AU22,0)*6</x:f>
        <x:v>0</x:v>
      </x:c>
      <x:c r="AP22" s="15" t="n">
        <x:f>IFERROR(='입력데이터'!AH22,0)*14+IFERROR(='입력데이터'!AD22,0)</x:f>
        <x:v>0</x:v>
      </x:c>
      <x:c r="AQ22" s="15" t="n">
        <x:f>IFERROR(='입력데이터'!AC22,0)*10</x:f>
        <x:v>0</x:v>
      </x:c>
      <x:c r="AR22" s="15" t="n">
        <x:f>IFERROR(='입력데이터'!AD22,0)*7+IFERROR(='입력데이터'!AH22,0)*2</x:f>
        <x:v>0</x:v>
      </x:c>
      <x:c r="AS22" s="15" t="n">
        <x:f>IFERROR(='입력데이터'!AH22,0)*8+IFERROR(='입력데이터'!AD22,0)*2+IFERROR(='입력데이터'!AI22,0)*4</x:f>
        <x:v>0</x:v>
      </x:c>
      <x:c r="AT22" s="16" t="n">
        <x:f>IFERROR(='입력데이터'!AG22,0)*8+IFERROR(='입력데이터'!AI22,0)*5+IFERROR(='입력데이터'!AU22,0)*4</x:f>
        <x:v>0</x:v>
      </x:c>
    </x:row>
    <x:row r="23">
      <x:c r="A23" s="14" t="str">
        <x:f>IF('입력데이터'!$B23="","",'입력데이터'!A23)</x:f>
      </x:c>
      <x:c r="B23" s="15" t="str">
        <x:f>IF('입력데이터'!$B23="","",'입력데이터'!B23)</x:f>
      </x:c>
      <x:c r="C23" s="15" t="str">
        <x:f>IF('입력데이터'!$B23="","",'입력데이터'!K23)</x:f>
      </x:c>
      <x:c r="D23" s="15" t="str">
        <x:f>IF('입력데이터'!$B23="","",'입력데이터'!H23)</x:f>
      </x:c>
      <x:c r="E23" s="15" t="str">
        <x:f>IF('입력데이터'!$B23="","",'입력데이터'!I23)</x:f>
      </x:c>
      <x:c r="F23" s="15" t="str">
        <x:f>IF('입력데이터'!$B23="","",'입력데이터'!J23)</x:f>
      </x:c>
      <x:c r="G23" s="15" t="str">
        <x:f>IF('입력데이터'!$B23="","",'입력데이터'!L23)</x:f>
      </x:c>
      <x:c r="H23" s="15" t="str">
        <x:f>IF('입력데이터'!$B23="","",'입력데이터'!O23)</x:f>
      </x:c>
      <x:c r="I23" s="20" t="str">
        <x:f>IF($B23="", "", ROUND(MAX(30, MIN(99, IFERROR((AE23-MIN($AE$2:$AE$101))/(MAX($AE$2:$AE$101)-MIN($AE$2:$AE$101))*99,30))),0))</x:f>
      </x:c>
      <x:c r="J23" s="20" t="str">
        <x:f>IF($B23="", "", ROUND(MAX(30, MIN(99, IFERROR((AF23-MIN($AF$2:$AF$101))/(MAX($AF$2:$AF$101)-MIN($AF$2:$AF$101))*99,30))),0))</x:f>
      </x:c>
      <x:c r="K23" s="20" t="str">
        <x:f>IF($B23="", "", ROUND(MAX(30, MIN(99, IFERROR((AG23-MIN($AG$2:$AG$101))/(MAX($AG$2:$AG$101)-MIN($AG$2:$AG$101))*99,30))),0))</x:f>
      </x:c>
      <x:c r="L23" s="20" t="str">
        <x:f>IF($B23="", "", ROUND(MAX(30, MIN(99, IFERROR((AH23-MIN($AH$2:$AH$101))/(MAX($AH$2:$AH$101)-MIN($AH$2:$AH$101))*99,30))),0))</x:f>
      </x:c>
      <x:c r="M23" s="20" t="str">
        <x:f>IF($B23="", "", ROUND(MAX(30, MIN(99, IFERROR((AI23-MIN($AI$2:$AI$101))/(MAX($AI$2:$AI$101)-MIN($AI$2:$AI$101))*99,30))),0))</x:f>
      </x:c>
      <x:c r="N23" s="20" t="str">
        <x:f>IF($B23="", "", ROUND(MAX(30, MIN(99, IFERROR((AJ23-MIN($AJ$2:$AJ$101))/(MAX($AJ$2:$AJ$101)-MIN($AJ$2:$AJ$101))*99,30))),0))</x:f>
      </x:c>
      <x:c r="O23" s="20" t="str">
        <x:f>IF($B23="", "", ROUND(MAX(30, MIN(99, IFERROR((AK23-MIN($AK$2:$AK$101))/(MAX($AK$2:$AK$101)-MIN($AK$2:$AK$101))*99,30))),0))</x:f>
      </x:c>
      <x:c r="P23" s="20" t="str">
        <x:f>IF($B23="", "", ROUND(MAX(30, MIN(99, IFERROR((AL23-MIN($AL$2:$AL$101))/(MAX($AL$2:$AL$101)-MIN($AL$2:$AL$101))*99,30))),0))</x:f>
      </x:c>
      <x:c r="Q23" s="20" t="str">
        <x:f>IF($B23="", "", ROUND(MAX(30, MIN(99, IFERROR((AM23-MIN($AM$2:$AM$101))/(MAX($AM$2:$AM$101)-MIN($AM$2:$AM$101))*99,30))),0))</x:f>
      </x:c>
      <x:c r="R23" s="20" t="str">
        <x:f>IF($B23="", "", ROUND(MAX(30, MIN(99, IFERROR((AN23-MIN($AN$2:$AN$101))/(MAX($AN$2:$AN$101)-MIN($AN$2:$AN$101))*99,30))),0))</x:f>
      </x:c>
      <x:c r="S23" s="20" t="str">
        <x:f>IF($B23="", "", ROUND(MAX(30, MIN(99, IFERROR((AO23-MIN($AO$2:$AO$101))/(MAX($AO$2:$AO$101)-MIN($AO$2:$AO$101))*99,30))),0))</x:f>
      </x:c>
      <x:c r="T23" s="20" t="str">
        <x:f>IF($B23="", "", ROUND(MAX(30, MIN(99, IFERROR((AP23-MIN($AP$2:$AP$101))/(MAX($AP$2:$AP$101)-MIN($AP$2:$AP$101))*99,30))),0))</x:f>
      </x:c>
      <x:c r="U23" s="20" t="str">
        <x:f>IF($B23="", "", ROUND(MAX(30, MIN(99, IFERROR((AQ23-MIN($AQ$2:$AQ$101))/(MAX($AQ$2:$AQ$101)-MIN($AQ$2:$AQ$101))*99,30))),0))</x:f>
      </x:c>
      <x:c r="V23" s="20" t="str">
        <x:f>IF($B23="", "", ROUND(MAX(30, MIN(99, IFERROR((AR23-MIN($AR$2:$AR$101))/(MAX($AR$2:$AR$101)-MIN($AR$2:$AR$101))*99,30))),0))</x:f>
      </x:c>
      <x:c r="W23" s="20" t="str">
        <x:f>IF($B23="", "", ROUND(MAX(30, MIN(99, IFERROR((AS23-MIN($AS$2:$AS$101))/(MAX($AS$2:$AS$101)-MIN($AS$2:$AS$101))*99,30))),0))</x:f>
      </x:c>
      <x:c r="X23" s="20" t="str">
        <x:f>IF($B23="", "", ROUND(MAX(30, MIN(99, IFERROR((AT23-MIN($AT$2:$AT$101))/(MAX($AT$2:$AT$101)-MIN($AT$2:$AT$101))*99,30))),0))</x:f>
      </x:c>
      <x:c r="Y23" s="20" t="str">
        <x:f>IF($B23="","",ROUND(AVERAGE(I23:X23),0))</x:f>
      </x:c>
      <x:c r="Z23" s="20" t="str">
        <x:f>IF($B23="","",ROUND(MAX(30,MIN(99,IFS(ISNUMBER(SEARCH("PG",UPPER(SUBSTITUTE($C23,"/","-")))),84,ISNUMBER(SEARCH("SG",UPPER(SUBSTITUTE($C23,"/","-")))),76,ISNUMBER(SEARCH("SF",UPPER(SUBSTITUTE($C23,"/","-")))),68,ISNUMBER(SEARCH("PF",UPPER(SUBSTITUTE($C23,"/","-")))),55,ISNUMBER(SEARCH("C",UPPER(SUBSTITUTE($C23,"/","-")))),42,TRUE,65)+((195-IFERROR($D23,195))*0.15)+((95-IFERROR($E23,95))*0.08))),0))</x:f>
      </x:c>
      <x:c r="AA23" s="20" t="str">
        <x:f>IF($B23="","",ROUND(MAX(30,MIN(99,IFS(ISNUMBER(SEARCH("PG",UPPER(SUBSTITUTE($C23,"/","-")))),84,ISNUMBER(SEARCH("SG",UPPER(SUBSTITUTE($C23,"/","-")))),76,ISNUMBER(SEARCH("SF",UPPER(SUBSTITUTE($C23,"/","-")))),68,ISNUMBER(SEARCH("PF",UPPER(SUBSTITUTE($C23,"/","-")))),55,ISNUMBER(SEARCH("C",UPPER(SUBSTITUTE($C23,"/","-")))),42,TRUE,65)+((195-IFERROR($D23,195))*0.18)+((95-IFERROR($E23,95))*0.10))),0))</x:f>
      </x:c>
      <x:c r="AB23" s="20" t="str">
        <x:f>IF($B23="","",ROUND(MAX(30,MIN(99,IFS(ISNUMBER(SEARCH("PG",UPPER(SUBSTITUTE($C23,"/","-")))),84,ISNUMBER(SEARCH("SG",UPPER(SUBSTITUTE($C23,"/","-")))),76,ISNUMBER(SEARCH("SF",UPPER(SUBSTITUTE($C23,"/","-")))),68,ISNUMBER(SEARCH("PF",UPPER(SUBSTITUTE($C23,"/","-")))),55,ISNUMBER(SEARCH("C",UPPER(SUBSTITUTE($C23,"/","-")))),42,TRUE,65)+2+((195-IFERROR($D23,195))*0.14)+((95-IFERROR($E23,95))*0.09))),0))</x:f>
      </x:c>
      <x:c r="AC23" s="20" t="str">
        <x:f>IF($B23="","",ROUND(MAX(30,MIN(99,IFS(ISNUMBER(SEARCH("C",UPPER(SUBSTITUTE($C23,"/","-")))),92,ISNUMBER(SEARCH("PF",UPPER(SUBSTITUTE($C23,"/","-")))),82,ISNUMBER(SEARCH("SF",UPPER(SUBSTITUTE($C23,"/","-")))),64,ISNUMBER(SEARCH("SG",UPPER(SUBSTITUTE($C23,"/","-")))),48,ISNUMBER(SEARCH("PG",UPPER(SUBSTITUTE($C23,"/","-")))),36,TRUE,60)+((IFERROR($E23,95)-95)*0.45)+((IFERROR($D23,195)-195)*0.10)+((IFERROR($F23,200)-200)*0.08))),0))</x:f>
      </x:c>
      <x:c r="AD23" s="20" t="str">
        <x:f>IF($B23="","",ROUND(MAX(30,MIN(99,65+((IFERROR($F23,200)-200)*0.22)+((IFERROR($D23,195)-195)*0.08)-((IFERROR($E23,95)-95)*0.07))),0))</x:f>
      </x:c>
      <x:c r="AE23" s="15" t="n">
        <x:f>IFERROR(='입력데이터'!S23,0)*0.4+IFERROR(='입력데이터'!AP23,0)*0.4+IFERROR(='입력데이터'!AO23,0)*0.5</x:f>
        <x:v>0</x:v>
      </x:c>
      <x:c r="AF23" s="15" t="n">
        <x:f>IFERROR(='입력데이터'!S23,0)*0.5+IFERROR(='입력데이터'!P23,0)*0.8+IFERROR(='입력데이터'!AG23,0)</x:f>
        <x:v>0</x:v>
      </x:c>
      <x:c r="AG23" s="15" t="n">
        <x:f>IFERROR(='입력데이터'!AJ23,0)*8+IFERROR(IFERROR(='입력데이터'!AJ23,0)/IFERROR(='입력데이터'!AK23,0),0)*30</x:f>
        <x:v>0</x:v>
      </x:c>
      <x:c r="AH23" s="15" t="n">
        <x:f>IFERROR(='입력데이터'!AJ23,0)*6+IFERROR(='입력데이터'!AH23,0)*4</x:f>
        <x:v>0</x:v>
      </x:c>
      <x:c r="AI23" s="15" t="n">
        <x:f>IFERROR(='입력데이터'!AP23,0)*0.4+IFERROR(='입력데이터'!AE23,0)*1.5+IFERROR(='입력데이터'!Q23,0)*1.5</x:f>
        <x:v>0</x:v>
      </x:c>
      <x:c r="AJ23" s="15" t="n">
        <x:f>MAX(0,IFERROR(='입력데이터'!P23,0)-IFERROR(='입력데이터'!Q23,0)*2-IFERROR(='입력데이터'!T23,0)*3-IFERROR(='입력데이터'!Z23,0))*1.5+IFERROR(='입력데이터'!Y23,0)*0.3</x:f>
        <x:v>0</x:v>
      </x:c>
      <x:c r="AK23" s="15" t="n">
        <x:f>IFERROR(='입력데이터'!V23,0)*0.6+IFERROR(='입력데이터'!U23,0)*2+IFERROR(='입력데이터'!T23,0)*3</x:f>
        <x:v>0</x:v>
      </x:c>
      <x:c r="AL23" s="15" t="n">
        <x:f>IFERROR(='입력데이터'!AB23,0)*0.7+IFERROR(='입력데이터'!AA23,0)*1.5</x:f>
        <x:v>0</x:v>
      </x:c>
      <x:c r="AM23" s="15" t="n">
        <x:f>IFERROR(='입력데이터'!AF23,0)*5+IFERROR(IFERROR(='입력데이터'!AF23,0)/IFERROR(='입력데이터'!AL23,0),0)*3+IFERROR(='입력데이터'!AT23,0)</x:f>
        <x:v>0</x:v>
      </x:c>
      <x:c r="AN23" s="15" t="n">
        <x:f>IFERROR(='입력데이터'!AF23,0)*3+IFERROR(='입력데이터'!AG23,0)*3+IFERROR(IFERROR(='입력데이터'!AF23,0)/IFERROR(='입력데이터'!AL23,0),0)*4</x:f>
        <x:v>0</x:v>
      </x:c>
      <x:c r="AO23" s="15" t="n">
        <x:f>IFERROR(='입력데이터'!AG23,0)*12+IFERROR(='입력데이터'!AU23,0)*6</x:f>
        <x:v>0</x:v>
      </x:c>
      <x:c r="AP23" s="15" t="n">
        <x:f>IFERROR(='입력데이터'!AH23,0)*14+IFERROR(='입력데이터'!AD23,0)</x:f>
        <x:v>0</x:v>
      </x:c>
      <x:c r="AQ23" s="15" t="n">
        <x:f>IFERROR(='입력데이터'!AC23,0)*10</x:f>
        <x:v>0</x:v>
      </x:c>
      <x:c r="AR23" s="15" t="n">
        <x:f>IFERROR(='입력데이터'!AD23,0)*7+IFERROR(='입력데이터'!AH23,0)*2</x:f>
        <x:v>0</x:v>
      </x:c>
      <x:c r="AS23" s="15" t="n">
        <x:f>IFERROR(='입력데이터'!AH23,0)*8+IFERROR(='입력데이터'!AD23,0)*2+IFERROR(='입력데이터'!AI23,0)*4</x:f>
        <x:v>0</x:v>
      </x:c>
      <x:c r="AT23" s="16" t="n">
        <x:f>IFERROR(='입력데이터'!AG23,0)*8+IFERROR(='입력데이터'!AI23,0)*5+IFERROR(='입력데이터'!AU23,0)*4</x:f>
        <x:v>0</x:v>
      </x:c>
    </x:row>
    <x:row r="24">
      <x:c r="A24" s="14" t="str">
        <x:f>IF('입력데이터'!$B24="","",'입력데이터'!A24)</x:f>
      </x:c>
      <x:c r="B24" s="15" t="str">
        <x:f>IF('입력데이터'!$B24="","",'입력데이터'!B24)</x:f>
      </x:c>
      <x:c r="C24" s="15" t="str">
        <x:f>IF('입력데이터'!$B24="","",'입력데이터'!K24)</x:f>
      </x:c>
      <x:c r="D24" s="15" t="str">
        <x:f>IF('입력데이터'!$B24="","",'입력데이터'!H24)</x:f>
      </x:c>
      <x:c r="E24" s="15" t="str">
        <x:f>IF('입력데이터'!$B24="","",'입력데이터'!I24)</x:f>
      </x:c>
      <x:c r="F24" s="15" t="str">
        <x:f>IF('입력데이터'!$B24="","",'입력데이터'!J24)</x:f>
      </x:c>
      <x:c r="G24" s="15" t="str">
        <x:f>IF('입력데이터'!$B24="","",'입력데이터'!L24)</x:f>
      </x:c>
      <x:c r="H24" s="15" t="str">
        <x:f>IF('입력데이터'!$B24="","",'입력데이터'!O24)</x:f>
      </x:c>
      <x:c r="I24" s="20" t="str">
        <x:f>IF($B24="", "", ROUND(MAX(30, MIN(99, IFERROR((AE24-MIN($AE$2:$AE$101))/(MAX($AE$2:$AE$101)-MIN($AE$2:$AE$101))*99,30))),0))</x:f>
      </x:c>
      <x:c r="J24" s="20" t="str">
        <x:f>IF($B24="", "", ROUND(MAX(30, MIN(99, IFERROR((AF24-MIN($AF$2:$AF$101))/(MAX($AF$2:$AF$101)-MIN($AF$2:$AF$101))*99,30))),0))</x:f>
      </x:c>
      <x:c r="K24" s="20" t="str">
        <x:f>IF($B24="", "", ROUND(MAX(30, MIN(99, IFERROR((AG24-MIN($AG$2:$AG$101))/(MAX($AG$2:$AG$101)-MIN($AG$2:$AG$101))*99,30))),0))</x:f>
      </x:c>
      <x:c r="L24" s="20" t="str">
        <x:f>IF($B24="", "", ROUND(MAX(30, MIN(99, IFERROR((AH24-MIN($AH$2:$AH$101))/(MAX($AH$2:$AH$101)-MIN($AH$2:$AH$101))*99,30))),0))</x:f>
      </x:c>
      <x:c r="M24" s="20" t="str">
        <x:f>IF($B24="", "", ROUND(MAX(30, MIN(99, IFERROR((AI24-MIN($AI$2:$AI$101))/(MAX($AI$2:$AI$101)-MIN($AI$2:$AI$101))*99,30))),0))</x:f>
      </x:c>
      <x:c r="N24" s="20" t="str">
        <x:f>IF($B24="", "", ROUND(MAX(30, MIN(99, IFERROR((AJ24-MIN($AJ$2:$AJ$101))/(MAX($AJ$2:$AJ$101)-MIN($AJ$2:$AJ$101))*99,30))),0))</x:f>
      </x:c>
      <x:c r="O24" s="20" t="str">
        <x:f>IF($B24="", "", ROUND(MAX(30, MIN(99, IFERROR((AK24-MIN($AK$2:$AK$101))/(MAX($AK$2:$AK$101)-MIN($AK$2:$AK$101))*99,30))),0))</x:f>
      </x:c>
      <x:c r="P24" s="20" t="str">
        <x:f>IF($B24="", "", ROUND(MAX(30, MIN(99, IFERROR((AL24-MIN($AL$2:$AL$101))/(MAX($AL$2:$AL$101)-MIN($AL$2:$AL$101))*99,30))),0))</x:f>
      </x:c>
      <x:c r="Q24" s="20" t="str">
        <x:f>IF($B24="", "", ROUND(MAX(30, MIN(99, IFERROR((AM24-MIN($AM$2:$AM$101))/(MAX($AM$2:$AM$101)-MIN($AM$2:$AM$101))*99,30))),0))</x:f>
      </x:c>
      <x:c r="R24" s="20" t="str">
        <x:f>IF($B24="", "", ROUND(MAX(30, MIN(99, IFERROR((AN24-MIN($AN$2:$AN$101))/(MAX($AN$2:$AN$101)-MIN($AN$2:$AN$101))*99,30))),0))</x:f>
      </x:c>
      <x:c r="S24" s="20" t="str">
        <x:f>IF($B24="", "", ROUND(MAX(30, MIN(99, IFERROR((AO24-MIN($AO$2:$AO$101))/(MAX($AO$2:$AO$101)-MIN($AO$2:$AO$101))*99,30))),0))</x:f>
      </x:c>
      <x:c r="T24" s="20" t="str">
        <x:f>IF($B24="", "", ROUND(MAX(30, MIN(99, IFERROR((AP24-MIN($AP$2:$AP$101))/(MAX($AP$2:$AP$101)-MIN($AP$2:$AP$101))*99,30))),0))</x:f>
      </x:c>
      <x:c r="U24" s="20" t="str">
        <x:f>IF($B24="", "", ROUND(MAX(30, MIN(99, IFERROR((AQ24-MIN($AQ$2:$AQ$101))/(MAX($AQ$2:$AQ$101)-MIN($AQ$2:$AQ$101))*99,30))),0))</x:f>
      </x:c>
      <x:c r="V24" s="20" t="str">
        <x:f>IF($B24="", "", ROUND(MAX(30, MIN(99, IFERROR((AR24-MIN($AR$2:$AR$101))/(MAX($AR$2:$AR$101)-MIN($AR$2:$AR$101))*99,30))),0))</x:f>
      </x:c>
      <x:c r="W24" s="20" t="str">
        <x:f>IF($B24="", "", ROUND(MAX(30, MIN(99, IFERROR((AS24-MIN($AS$2:$AS$101))/(MAX($AS$2:$AS$101)-MIN($AS$2:$AS$101))*99,30))),0))</x:f>
      </x:c>
      <x:c r="X24" s="20" t="str">
        <x:f>IF($B24="", "", ROUND(MAX(30, MIN(99, IFERROR((AT24-MIN($AT$2:$AT$101))/(MAX($AT$2:$AT$101)-MIN($AT$2:$AT$101))*99,30))),0))</x:f>
      </x:c>
      <x:c r="Y24" s="20" t="str">
        <x:f>IF($B24="","",ROUND(AVERAGE(I24:X24),0))</x:f>
      </x:c>
      <x:c r="Z24" s="20" t="str">
        <x:f>IF($B24="","",ROUND(MAX(30,MIN(99,IFS(ISNUMBER(SEARCH("PG",UPPER(SUBSTITUTE($C24,"/","-")))),84,ISNUMBER(SEARCH("SG",UPPER(SUBSTITUTE($C24,"/","-")))),76,ISNUMBER(SEARCH("SF",UPPER(SUBSTITUTE($C24,"/","-")))),68,ISNUMBER(SEARCH("PF",UPPER(SUBSTITUTE($C24,"/","-")))),55,ISNUMBER(SEARCH("C",UPPER(SUBSTITUTE($C24,"/","-")))),42,TRUE,65)+((195-IFERROR($D24,195))*0.15)+((95-IFERROR($E24,95))*0.08))),0))</x:f>
      </x:c>
      <x:c r="AA24" s="20" t="str">
        <x:f>IF($B24="","",ROUND(MAX(30,MIN(99,IFS(ISNUMBER(SEARCH("PG",UPPER(SUBSTITUTE($C24,"/","-")))),84,ISNUMBER(SEARCH("SG",UPPER(SUBSTITUTE($C24,"/","-")))),76,ISNUMBER(SEARCH("SF",UPPER(SUBSTITUTE($C24,"/","-")))),68,ISNUMBER(SEARCH("PF",UPPER(SUBSTITUTE($C24,"/","-")))),55,ISNUMBER(SEARCH("C",UPPER(SUBSTITUTE($C24,"/","-")))),42,TRUE,65)+((195-IFERROR($D24,195))*0.18)+((95-IFERROR($E24,95))*0.10))),0))</x:f>
      </x:c>
      <x:c r="AB24" s="20" t="str">
        <x:f>IF($B24="","",ROUND(MAX(30,MIN(99,IFS(ISNUMBER(SEARCH("PG",UPPER(SUBSTITUTE($C24,"/","-")))),84,ISNUMBER(SEARCH("SG",UPPER(SUBSTITUTE($C24,"/","-")))),76,ISNUMBER(SEARCH("SF",UPPER(SUBSTITUTE($C24,"/","-")))),68,ISNUMBER(SEARCH("PF",UPPER(SUBSTITUTE($C24,"/","-")))),55,ISNUMBER(SEARCH("C",UPPER(SUBSTITUTE($C24,"/","-")))),42,TRUE,65)+2+((195-IFERROR($D24,195))*0.14)+((95-IFERROR($E24,95))*0.09))),0))</x:f>
      </x:c>
      <x:c r="AC24" s="20" t="str">
        <x:f>IF($B24="","",ROUND(MAX(30,MIN(99,IFS(ISNUMBER(SEARCH("C",UPPER(SUBSTITUTE($C24,"/","-")))),92,ISNUMBER(SEARCH("PF",UPPER(SUBSTITUTE($C24,"/","-")))),82,ISNUMBER(SEARCH("SF",UPPER(SUBSTITUTE($C24,"/","-")))),64,ISNUMBER(SEARCH("SG",UPPER(SUBSTITUTE($C24,"/","-")))),48,ISNUMBER(SEARCH("PG",UPPER(SUBSTITUTE($C24,"/","-")))),36,TRUE,60)+((IFERROR($E24,95)-95)*0.45)+((IFERROR($D24,195)-195)*0.10)+((IFERROR($F24,200)-200)*0.08))),0))</x:f>
      </x:c>
      <x:c r="AD24" s="20" t="str">
        <x:f>IF($B24="","",ROUND(MAX(30,MIN(99,65+((IFERROR($F24,200)-200)*0.22)+((IFERROR($D24,195)-195)*0.08)-((IFERROR($E24,95)-95)*0.07))),0))</x:f>
      </x:c>
      <x:c r="AE24" s="15" t="n">
        <x:f>IFERROR(='입력데이터'!S24,0)*0.4+IFERROR(='입력데이터'!AP24,0)*0.4+IFERROR(='입력데이터'!AO24,0)*0.5</x:f>
        <x:v>0</x:v>
      </x:c>
      <x:c r="AF24" s="15" t="n">
        <x:f>IFERROR(='입력데이터'!S24,0)*0.5+IFERROR(='입력데이터'!P24,0)*0.8+IFERROR(='입력데이터'!AG24,0)</x:f>
        <x:v>0</x:v>
      </x:c>
      <x:c r="AG24" s="15" t="n">
        <x:f>IFERROR(='입력데이터'!AJ24,0)*8+IFERROR(IFERROR(='입력데이터'!AJ24,0)/IFERROR(='입력데이터'!AK24,0),0)*30</x:f>
        <x:v>0</x:v>
      </x:c>
      <x:c r="AH24" s="15" t="n">
        <x:f>IFERROR(='입력데이터'!AJ24,0)*6+IFERROR(='입력데이터'!AH24,0)*4</x:f>
        <x:v>0</x:v>
      </x:c>
      <x:c r="AI24" s="15" t="n">
        <x:f>IFERROR(='입력데이터'!AP24,0)*0.4+IFERROR(='입력데이터'!AE24,0)*1.5+IFERROR(='입력데이터'!Q24,0)*1.5</x:f>
        <x:v>0</x:v>
      </x:c>
      <x:c r="AJ24" s="15" t="n">
        <x:f>MAX(0,IFERROR(='입력데이터'!P24,0)-IFERROR(='입력데이터'!Q24,0)*2-IFERROR(='입력데이터'!T24,0)*3-IFERROR(='입력데이터'!Z24,0))*1.5+IFERROR(='입력데이터'!Y24,0)*0.3</x:f>
        <x:v>0</x:v>
      </x:c>
      <x:c r="AK24" s="15" t="n">
        <x:f>IFERROR(='입력데이터'!V24,0)*0.6+IFERROR(='입력데이터'!U24,0)*2+IFERROR(='입력데이터'!T24,0)*3</x:f>
        <x:v>0</x:v>
      </x:c>
      <x:c r="AL24" s="15" t="n">
        <x:f>IFERROR(='입력데이터'!AB24,0)*0.7+IFERROR(='입력데이터'!AA24,0)*1.5</x:f>
        <x:v>0</x:v>
      </x:c>
      <x:c r="AM24" s="15" t="n">
        <x:f>IFERROR(='입력데이터'!AF24,0)*5+IFERROR(IFERROR(='입력데이터'!AF24,0)/IFERROR(='입력데이터'!AL24,0),0)*3+IFERROR(='입력데이터'!AT24,0)</x:f>
        <x:v>0</x:v>
      </x:c>
      <x:c r="AN24" s="15" t="n">
        <x:f>IFERROR(='입력데이터'!AF24,0)*3+IFERROR(='입력데이터'!AG24,0)*3+IFERROR(IFERROR(='입력데이터'!AF24,0)/IFERROR(='입력데이터'!AL24,0),0)*4</x:f>
        <x:v>0</x:v>
      </x:c>
      <x:c r="AO24" s="15" t="n">
        <x:f>IFERROR(='입력데이터'!AG24,0)*12+IFERROR(='입력데이터'!AU24,0)*6</x:f>
        <x:v>0</x:v>
      </x:c>
      <x:c r="AP24" s="15" t="n">
        <x:f>IFERROR(='입력데이터'!AH24,0)*14+IFERROR(='입력데이터'!AD24,0)</x:f>
        <x:v>0</x:v>
      </x:c>
      <x:c r="AQ24" s="15" t="n">
        <x:f>IFERROR(='입력데이터'!AC24,0)*10</x:f>
        <x:v>0</x:v>
      </x:c>
      <x:c r="AR24" s="15" t="n">
        <x:f>IFERROR(='입력데이터'!AD24,0)*7+IFERROR(='입력데이터'!AH24,0)*2</x:f>
        <x:v>0</x:v>
      </x:c>
      <x:c r="AS24" s="15" t="n">
        <x:f>IFERROR(='입력데이터'!AH24,0)*8+IFERROR(='입력데이터'!AD24,0)*2+IFERROR(='입력데이터'!AI24,0)*4</x:f>
        <x:v>0</x:v>
      </x:c>
      <x:c r="AT24" s="16" t="n">
        <x:f>IFERROR(='입력데이터'!AG24,0)*8+IFERROR(='입력데이터'!AI24,0)*5+IFERROR(='입력데이터'!AU24,0)*4</x:f>
        <x:v>0</x:v>
      </x:c>
    </x:row>
    <x:row r="25">
      <x:c r="A25" s="14" t="str">
        <x:f>IF('입력데이터'!$B25="","",'입력데이터'!A25)</x:f>
      </x:c>
      <x:c r="B25" s="15" t="str">
        <x:f>IF('입력데이터'!$B25="","",'입력데이터'!B25)</x:f>
      </x:c>
      <x:c r="C25" s="15" t="str">
        <x:f>IF('입력데이터'!$B25="","",'입력데이터'!K25)</x:f>
      </x:c>
      <x:c r="D25" s="15" t="str">
        <x:f>IF('입력데이터'!$B25="","",'입력데이터'!H25)</x:f>
      </x:c>
      <x:c r="E25" s="15" t="str">
        <x:f>IF('입력데이터'!$B25="","",'입력데이터'!I25)</x:f>
      </x:c>
      <x:c r="F25" s="15" t="str">
        <x:f>IF('입력데이터'!$B25="","",'입력데이터'!J25)</x:f>
      </x:c>
      <x:c r="G25" s="15" t="str">
        <x:f>IF('입력데이터'!$B25="","",'입력데이터'!L25)</x:f>
      </x:c>
      <x:c r="H25" s="15" t="str">
        <x:f>IF('입력데이터'!$B25="","",'입력데이터'!O25)</x:f>
      </x:c>
      <x:c r="I25" s="20" t="str">
        <x:f>IF($B25="", "", ROUND(MAX(30, MIN(99, IFERROR((AE25-MIN($AE$2:$AE$101))/(MAX($AE$2:$AE$101)-MIN($AE$2:$AE$101))*99,30))),0))</x:f>
      </x:c>
      <x:c r="J25" s="20" t="str">
        <x:f>IF($B25="", "", ROUND(MAX(30, MIN(99, IFERROR((AF25-MIN($AF$2:$AF$101))/(MAX($AF$2:$AF$101)-MIN($AF$2:$AF$101))*99,30))),0))</x:f>
      </x:c>
      <x:c r="K25" s="20" t="str">
        <x:f>IF($B25="", "", ROUND(MAX(30, MIN(99, IFERROR((AG25-MIN($AG$2:$AG$101))/(MAX($AG$2:$AG$101)-MIN($AG$2:$AG$101))*99,30))),0))</x:f>
      </x:c>
      <x:c r="L25" s="20" t="str">
        <x:f>IF($B25="", "", ROUND(MAX(30, MIN(99, IFERROR((AH25-MIN($AH$2:$AH$101))/(MAX($AH$2:$AH$101)-MIN($AH$2:$AH$101))*99,30))),0))</x:f>
      </x:c>
      <x:c r="M25" s="20" t="str">
        <x:f>IF($B25="", "", ROUND(MAX(30, MIN(99, IFERROR((AI25-MIN($AI$2:$AI$101))/(MAX($AI$2:$AI$101)-MIN($AI$2:$AI$101))*99,30))),0))</x:f>
      </x:c>
      <x:c r="N25" s="20" t="str">
        <x:f>IF($B25="", "", ROUND(MAX(30, MIN(99, IFERROR((AJ25-MIN($AJ$2:$AJ$101))/(MAX($AJ$2:$AJ$101)-MIN($AJ$2:$AJ$101))*99,30))),0))</x:f>
      </x:c>
      <x:c r="O25" s="20" t="str">
        <x:f>IF($B25="", "", ROUND(MAX(30, MIN(99, IFERROR((AK25-MIN($AK$2:$AK$101))/(MAX($AK$2:$AK$101)-MIN($AK$2:$AK$101))*99,30))),0))</x:f>
      </x:c>
      <x:c r="P25" s="20" t="str">
        <x:f>IF($B25="", "", ROUND(MAX(30, MIN(99, IFERROR((AL25-MIN($AL$2:$AL$101))/(MAX($AL$2:$AL$101)-MIN($AL$2:$AL$101))*99,30))),0))</x:f>
      </x:c>
      <x:c r="Q25" s="20" t="str">
        <x:f>IF($B25="", "", ROUND(MAX(30, MIN(99, IFERROR((AM25-MIN($AM$2:$AM$101))/(MAX($AM$2:$AM$101)-MIN($AM$2:$AM$101))*99,30))),0))</x:f>
      </x:c>
      <x:c r="R25" s="20" t="str">
        <x:f>IF($B25="", "", ROUND(MAX(30, MIN(99, IFERROR((AN25-MIN($AN$2:$AN$101))/(MAX($AN$2:$AN$101)-MIN($AN$2:$AN$101))*99,30))),0))</x:f>
      </x:c>
      <x:c r="S25" s="20" t="str">
        <x:f>IF($B25="", "", ROUND(MAX(30, MIN(99, IFERROR((AO25-MIN($AO$2:$AO$101))/(MAX($AO$2:$AO$101)-MIN($AO$2:$AO$101))*99,30))),0))</x:f>
      </x:c>
      <x:c r="T25" s="20" t="str">
        <x:f>IF($B25="", "", ROUND(MAX(30, MIN(99, IFERROR((AP25-MIN($AP$2:$AP$101))/(MAX($AP$2:$AP$101)-MIN($AP$2:$AP$101))*99,30))),0))</x:f>
      </x:c>
      <x:c r="U25" s="20" t="str">
        <x:f>IF($B25="", "", ROUND(MAX(30, MIN(99, IFERROR((AQ25-MIN($AQ$2:$AQ$101))/(MAX($AQ$2:$AQ$101)-MIN($AQ$2:$AQ$101))*99,30))),0))</x:f>
      </x:c>
      <x:c r="V25" s="20" t="str">
        <x:f>IF($B25="", "", ROUND(MAX(30, MIN(99, IFERROR((AR25-MIN($AR$2:$AR$101))/(MAX($AR$2:$AR$101)-MIN($AR$2:$AR$101))*99,30))),0))</x:f>
      </x:c>
      <x:c r="W25" s="20" t="str">
        <x:f>IF($B25="", "", ROUND(MAX(30, MIN(99, IFERROR((AS25-MIN($AS$2:$AS$101))/(MAX($AS$2:$AS$101)-MIN($AS$2:$AS$101))*99,30))),0))</x:f>
      </x:c>
      <x:c r="X25" s="20" t="str">
        <x:f>IF($B25="", "", ROUND(MAX(30, MIN(99, IFERROR((AT25-MIN($AT$2:$AT$101))/(MAX($AT$2:$AT$101)-MIN($AT$2:$AT$101))*99,30))),0))</x:f>
      </x:c>
      <x:c r="Y25" s="20" t="str">
        <x:f>IF($B25="","",ROUND(AVERAGE(I25:X25),0))</x:f>
      </x:c>
      <x:c r="Z25" s="20" t="str">
        <x:f>IF($B25="","",ROUND(MAX(30,MIN(99,IFS(ISNUMBER(SEARCH("PG",UPPER(SUBSTITUTE($C25,"/","-")))),84,ISNUMBER(SEARCH("SG",UPPER(SUBSTITUTE($C25,"/","-")))),76,ISNUMBER(SEARCH("SF",UPPER(SUBSTITUTE($C25,"/","-")))),68,ISNUMBER(SEARCH("PF",UPPER(SUBSTITUTE($C25,"/","-")))),55,ISNUMBER(SEARCH("C",UPPER(SUBSTITUTE($C25,"/","-")))),42,TRUE,65)+((195-IFERROR($D25,195))*0.15)+((95-IFERROR($E25,95))*0.08))),0))</x:f>
      </x:c>
      <x:c r="AA25" s="20" t="str">
        <x:f>IF($B25="","",ROUND(MAX(30,MIN(99,IFS(ISNUMBER(SEARCH("PG",UPPER(SUBSTITUTE($C25,"/","-")))),84,ISNUMBER(SEARCH("SG",UPPER(SUBSTITUTE($C25,"/","-")))),76,ISNUMBER(SEARCH("SF",UPPER(SUBSTITUTE($C25,"/","-")))),68,ISNUMBER(SEARCH("PF",UPPER(SUBSTITUTE($C25,"/","-")))),55,ISNUMBER(SEARCH("C",UPPER(SUBSTITUTE($C25,"/","-")))),42,TRUE,65)+((195-IFERROR($D25,195))*0.18)+((95-IFERROR($E25,95))*0.10))),0))</x:f>
      </x:c>
      <x:c r="AB25" s="20" t="str">
        <x:f>IF($B25="","",ROUND(MAX(30,MIN(99,IFS(ISNUMBER(SEARCH("PG",UPPER(SUBSTITUTE($C25,"/","-")))),84,ISNUMBER(SEARCH("SG",UPPER(SUBSTITUTE($C25,"/","-")))),76,ISNUMBER(SEARCH("SF",UPPER(SUBSTITUTE($C25,"/","-")))),68,ISNUMBER(SEARCH("PF",UPPER(SUBSTITUTE($C25,"/","-")))),55,ISNUMBER(SEARCH("C",UPPER(SUBSTITUTE($C25,"/","-")))),42,TRUE,65)+2+((195-IFERROR($D25,195))*0.14)+((95-IFERROR($E25,95))*0.09))),0))</x:f>
      </x:c>
      <x:c r="AC25" s="20" t="str">
        <x:f>IF($B25="","",ROUND(MAX(30,MIN(99,IFS(ISNUMBER(SEARCH("C",UPPER(SUBSTITUTE($C25,"/","-")))),92,ISNUMBER(SEARCH("PF",UPPER(SUBSTITUTE($C25,"/","-")))),82,ISNUMBER(SEARCH("SF",UPPER(SUBSTITUTE($C25,"/","-")))),64,ISNUMBER(SEARCH("SG",UPPER(SUBSTITUTE($C25,"/","-")))),48,ISNUMBER(SEARCH("PG",UPPER(SUBSTITUTE($C25,"/","-")))),36,TRUE,60)+((IFERROR($E25,95)-95)*0.45)+((IFERROR($D25,195)-195)*0.10)+((IFERROR($F25,200)-200)*0.08))),0))</x:f>
      </x:c>
      <x:c r="AD25" s="20" t="str">
        <x:f>IF($B25="","",ROUND(MAX(30,MIN(99,65+((IFERROR($F25,200)-200)*0.22)+((IFERROR($D25,195)-195)*0.08)-((IFERROR($E25,95)-95)*0.07))),0))</x:f>
      </x:c>
      <x:c r="AE25" s="15" t="n">
        <x:f>IFERROR(='입력데이터'!S25,0)*0.4+IFERROR(='입력데이터'!AP25,0)*0.4+IFERROR(='입력데이터'!AO25,0)*0.5</x:f>
        <x:v>0</x:v>
      </x:c>
      <x:c r="AF25" s="15" t="n">
        <x:f>IFERROR(='입력데이터'!S25,0)*0.5+IFERROR(='입력데이터'!P25,0)*0.8+IFERROR(='입력데이터'!AG25,0)</x:f>
        <x:v>0</x:v>
      </x:c>
      <x:c r="AG25" s="15" t="n">
        <x:f>IFERROR(='입력데이터'!AJ25,0)*8+IFERROR(IFERROR(='입력데이터'!AJ25,0)/IFERROR(='입력데이터'!AK25,0),0)*30</x:f>
        <x:v>0</x:v>
      </x:c>
      <x:c r="AH25" s="15" t="n">
        <x:f>IFERROR(='입력데이터'!AJ25,0)*6+IFERROR(='입력데이터'!AH25,0)*4</x:f>
        <x:v>0</x:v>
      </x:c>
      <x:c r="AI25" s="15" t="n">
        <x:f>IFERROR(='입력데이터'!AP25,0)*0.4+IFERROR(='입력데이터'!AE25,0)*1.5+IFERROR(='입력데이터'!Q25,0)*1.5</x:f>
        <x:v>0</x:v>
      </x:c>
      <x:c r="AJ25" s="15" t="n">
        <x:f>MAX(0,IFERROR(='입력데이터'!P25,0)-IFERROR(='입력데이터'!Q25,0)*2-IFERROR(='입력데이터'!T25,0)*3-IFERROR(='입력데이터'!Z25,0))*1.5+IFERROR(='입력데이터'!Y25,0)*0.3</x:f>
        <x:v>0</x:v>
      </x:c>
      <x:c r="AK25" s="15" t="n">
        <x:f>IFERROR(='입력데이터'!V25,0)*0.6+IFERROR(='입력데이터'!U25,0)*2+IFERROR(='입력데이터'!T25,0)*3</x:f>
        <x:v>0</x:v>
      </x:c>
      <x:c r="AL25" s="15" t="n">
        <x:f>IFERROR(='입력데이터'!AB25,0)*0.7+IFERROR(='입력데이터'!AA25,0)*1.5</x:f>
        <x:v>0</x:v>
      </x:c>
      <x:c r="AM25" s="15" t="n">
        <x:f>IFERROR(='입력데이터'!AF25,0)*5+IFERROR(IFERROR(='입력데이터'!AF25,0)/IFERROR(='입력데이터'!AL25,0),0)*3+IFERROR(='입력데이터'!AT25,0)</x:f>
        <x:v>0</x:v>
      </x:c>
      <x:c r="AN25" s="15" t="n">
        <x:f>IFERROR(='입력데이터'!AF25,0)*3+IFERROR(='입력데이터'!AG25,0)*3+IFERROR(IFERROR(='입력데이터'!AF25,0)/IFERROR(='입력데이터'!AL25,0),0)*4</x:f>
        <x:v>0</x:v>
      </x:c>
      <x:c r="AO25" s="15" t="n">
        <x:f>IFERROR(='입력데이터'!AG25,0)*12+IFERROR(='입력데이터'!AU25,0)*6</x:f>
        <x:v>0</x:v>
      </x:c>
      <x:c r="AP25" s="15" t="n">
        <x:f>IFERROR(='입력데이터'!AH25,0)*14+IFERROR(='입력데이터'!AD25,0)</x:f>
        <x:v>0</x:v>
      </x:c>
      <x:c r="AQ25" s="15" t="n">
        <x:f>IFERROR(='입력데이터'!AC25,0)*10</x:f>
        <x:v>0</x:v>
      </x:c>
      <x:c r="AR25" s="15" t="n">
        <x:f>IFERROR(='입력데이터'!AD25,0)*7+IFERROR(='입력데이터'!AH25,0)*2</x:f>
        <x:v>0</x:v>
      </x:c>
      <x:c r="AS25" s="15" t="n">
        <x:f>IFERROR(='입력데이터'!AH25,0)*8+IFERROR(='입력데이터'!AD25,0)*2+IFERROR(='입력데이터'!AI25,0)*4</x:f>
        <x:v>0</x:v>
      </x:c>
      <x:c r="AT25" s="16" t="n">
        <x:f>IFERROR(='입력데이터'!AG25,0)*8+IFERROR(='입력데이터'!AI25,0)*5+IFERROR(='입력데이터'!AU25,0)*4</x:f>
        <x:v>0</x:v>
      </x:c>
    </x:row>
    <x:row r="26">
      <x:c r="A26" s="14" t="str">
        <x:f>IF('입력데이터'!$B26="","",'입력데이터'!A26)</x:f>
      </x:c>
      <x:c r="B26" s="15" t="str">
        <x:f>IF('입력데이터'!$B26="","",'입력데이터'!B26)</x:f>
      </x:c>
      <x:c r="C26" s="15" t="str">
        <x:f>IF('입력데이터'!$B26="","",'입력데이터'!K26)</x:f>
      </x:c>
      <x:c r="D26" s="15" t="str">
        <x:f>IF('입력데이터'!$B26="","",'입력데이터'!H26)</x:f>
      </x:c>
      <x:c r="E26" s="15" t="str">
        <x:f>IF('입력데이터'!$B26="","",'입력데이터'!I26)</x:f>
      </x:c>
      <x:c r="F26" s="15" t="str">
        <x:f>IF('입력데이터'!$B26="","",'입력데이터'!J26)</x:f>
      </x:c>
      <x:c r="G26" s="15" t="str">
        <x:f>IF('입력데이터'!$B26="","",'입력데이터'!L26)</x:f>
      </x:c>
      <x:c r="H26" s="15" t="str">
        <x:f>IF('입력데이터'!$B26="","",'입력데이터'!O26)</x:f>
      </x:c>
      <x:c r="I26" s="20" t="str">
        <x:f>IF($B26="", "", ROUND(MAX(30, MIN(99, IFERROR((AE26-MIN($AE$2:$AE$101))/(MAX($AE$2:$AE$101)-MIN($AE$2:$AE$101))*99,30))),0))</x:f>
      </x:c>
      <x:c r="J26" s="20" t="str">
        <x:f>IF($B26="", "", ROUND(MAX(30, MIN(99, IFERROR((AF26-MIN($AF$2:$AF$101))/(MAX($AF$2:$AF$101)-MIN($AF$2:$AF$101))*99,30))),0))</x:f>
      </x:c>
      <x:c r="K26" s="20" t="str">
        <x:f>IF($B26="", "", ROUND(MAX(30, MIN(99, IFERROR((AG26-MIN($AG$2:$AG$101))/(MAX($AG$2:$AG$101)-MIN($AG$2:$AG$101))*99,30))),0))</x:f>
      </x:c>
      <x:c r="L26" s="20" t="str">
        <x:f>IF($B26="", "", ROUND(MAX(30, MIN(99, IFERROR((AH26-MIN($AH$2:$AH$101))/(MAX($AH$2:$AH$101)-MIN($AH$2:$AH$101))*99,30))),0))</x:f>
      </x:c>
      <x:c r="M26" s="20" t="str">
        <x:f>IF($B26="", "", ROUND(MAX(30, MIN(99, IFERROR((AI26-MIN($AI$2:$AI$101))/(MAX($AI$2:$AI$101)-MIN($AI$2:$AI$101))*99,30))),0))</x:f>
      </x:c>
      <x:c r="N26" s="20" t="str">
        <x:f>IF($B26="", "", ROUND(MAX(30, MIN(99, IFERROR((AJ26-MIN($AJ$2:$AJ$101))/(MAX($AJ$2:$AJ$101)-MIN($AJ$2:$AJ$101))*99,30))),0))</x:f>
      </x:c>
      <x:c r="O26" s="20" t="str">
        <x:f>IF($B26="", "", ROUND(MAX(30, MIN(99, IFERROR((AK26-MIN($AK$2:$AK$101))/(MAX($AK$2:$AK$101)-MIN($AK$2:$AK$101))*99,30))),0))</x:f>
      </x:c>
      <x:c r="P26" s="20" t="str">
        <x:f>IF($B26="", "", ROUND(MAX(30, MIN(99, IFERROR((AL26-MIN($AL$2:$AL$101))/(MAX($AL$2:$AL$101)-MIN($AL$2:$AL$101))*99,30))),0))</x:f>
      </x:c>
      <x:c r="Q26" s="20" t="str">
        <x:f>IF($B26="", "", ROUND(MAX(30, MIN(99, IFERROR((AM26-MIN($AM$2:$AM$101))/(MAX($AM$2:$AM$101)-MIN($AM$2:$AM$101))*99,30))),0))</x:f>
      </x:c>
      <x:c r="R26" s="20" t="str">
        <x:f>IF($B26="", "", ROUND(MAX(30, MIN(99, IFERROR((AN26-MIN($AN$2:$AN$101))/(MAX($AN$2:$AN$101)-MIN($AN$2:$AN$101))*99,30))),0))</x:f>
      </x:c>
      <x:c r="S26" s="20" t="str">
        <x:f>IF($B26="", "", ROUND(MAX(30, MIN(99, IFERROR((AO26-MIN($AO$2:$AO$101))/(MAX($AO$2:$AO$101)-MIN($AO$2:$AO$101))*99,30))),0))</x:f>
      </x:c>
      <x:c r="T26" s="20" t="str">
        <x:f>IF($B26="", "", ROUND(MAX(30, MIN(99, IFERROR((AP26-MIN($AP$2:$AP$101))/(MAX($AP$2:$AP$101)-MIN($AP$2:$AP$101))*99,30))),0))</x:f>
      </x:c>
      <x:c r="U26" s="20" t="str">
        <x:f>IF($B26="", "", ROUND(MAX(30, MIN(99, IFERROR((AQ26-MIN($AQ$2:$AQ$101))/(MAX($AQ$2:$AQ$101)-MIN($AQ$2:$AQ$101))*99,30))),0))</x:f>
      </x:c>
      <x:c r="V26" s="20" t="str">
        <x:f>IF($B26="", "", ROUND(MAX(30, MIN(99, IFERROR((AR26-MIN($AR$2:$AR$101))/(MAX($AR$2:$AR$101)-MIN($AR$2:$AR$101))*99,30))),0))</x:f>
      </x:c>
      <x:c r="W26" s="20" t="str">
        <x:f>IF($B26="", "", ROUND(MAX(30, MIN(99, IFERROR((AS26-MIN($AS$2:$AS$101))/(MAX($AS$2:$AS$101)-MIN($AS$2:$AS$101))*99,30))),0))</x:f>
      </x:c>
      <x:c r="X26" s="20" t="str">
        <x:f>IF($B26="", "", ROUND(MAX(30, MIN(99, IFERROR((AT26-MIN($AT$2:$AT$101))/(MAX($AT$2:$AT$101)-MIN($AT$2:$AT$101))*99,30))),0))</x:f>
      </x:c>
      <x:c r="Y26" s="20" t="str">
        <x:f>IF($B26="","",ROUND(AVERAGE(I26:X26),0))</x:f>
      </x:c>
      <x:c r="Z26" s="20" t="str">
        <x:f>IF($B26="","",ROUND(MAX(30,MIN(99,IFS(ISNUMBER(SEARCH("PG",UPPER(SUBSTITUTE($C26,"/","-")))),84,ISNUMBER(SEARCH("SG",UPPER(SUBSTITUTE($C26,"/","-")))),76,ISNUMBER(SEARCH("SF",UPPER(SUBSTITUTE($C26,"/","-")))),68,ISNUMBER(SEARCH("PF",UPPER(SUBSTITUTE($C26,"/","-")))),55,ISNUMBER(SEARCH("C",UPPER(SUBSTITUTE($C26,"/","-")))),42,TRUE,65)+((195-IFERROR($D26,195))*0.15)+((95-IFERROR($E26,95))*0.08))),0))</x:f>
      </x:c>
      <x:c r="AA26" s="20" t="str">
        <x:f>IF($B26="","",ROUND(MAX(30,MIN(99,IFS(ISNUMBER(SEARCH("PG",UPPER(SUBSTITUTE($C26,"/","-")))),84,ISNUMBER(SEARCH("SG",UPPER(SUBSTITUTE($C26,"/","-")))),76,ISNUMBER(SEARCH("SF",UPPER(SUBSTITUTE($C26,"/","-")))),68,ISNUMBER(SEARCH("PF",UPPER(SUBSTITUTE($C26,"/","-")))),55,ISNUMBER(SEARCH("C",UPPER(SUBSTITUTE($C26,"/","-")))),42,TRUE,65)+((195-IFERROR($D26,195))*0.18)+((95-IFERROR($E26,95))*0.10))),0))</x:f>
      </x:c>
      <x:c r="AB26" s="20" t="str">
        <x:f>IF($B26="","",ROUND(MAX(30,MIN(99,IFS(ISNUMBER(SEARCH("PG",UPPER(SUBSTITUTE($C26,"/","-")))),84,ISNUMBER(SEARCH("SG",UPPER(SUBSTITUTE($C26,"/","-")))),76,ISNUMBER(SEARCH("SF",UPPER(SUBSTITUTE($C26,"/","-")))),68,ISNUMBER(SEARCH("PF",UPPER(SUBSTITUTE($C26,"/","-")))),55,ISNUMBER(SEARCH("C",UPPER(SUBSTITUTE($C26,"/","-")))),42,TRUE,65)+2+((195-IFERROR($D26,195))*0.14)+((95-IFERROR($E26,95))*0.09))),0))</x:f>
      </x:c>
      <x:c r="AC26" s="20" t="str">
        <x:f>IF($B26="","",ROUND(MAX(30,MIN(99,IFS(ISNUMBER(SEARCH("C",UPPER(SUBSTITUTE($C26,"/","-")))),92,ISNUMBER(SEARCH("PF",UPPER(SUBSTITUTE($C26,"/","-")))),82,ISNUMBER(SEARCH("SF",UPPER(SUBSTITUTE($C26,"/","-")))),64,ISNUMBER(SEARCH("SG",UPPER(SUBSTITUTE($C26,"/","-")))),48,ISNUMBER(SEARCH("PG",UPPER(SUBSTITUTE($C26,"/","-")))),36,TRUE,60)+((IFERROR($E26,95)-95)*0.45)+((IFERROR($D26,195)-195)*0.10)+((IFERROR($F26,200)-200)*0.08))),0))</x:f>
      </x:c>
      <x:c r="AD26" s="20" t="str">
        <x:f>IF($B26="","",ROUND(MAX(30,MIN(99,65+((IFERROR($F26,200)-200)*0.22)+((IFERROR($D26,195)-195)*0.08)-((IFERROR($E26,95)-95)*0.07))),0))</x:f>
      </x:c>
      <x:c r="AE26" s="15" t="n">
        <x:f>IFERROR(='입력데이터'!S26,0)*0.4+IFERROR(='입력데이터'!AP26,0)*0.4+IFERROR(='입력데이터'!AO26,0)*0.5</x:f>
        <x:v>0</x:v>
      </x:c>
      <x:c r="AF26" s="15" t="n">
        <x:f>IFERROR(='입력데이터'!S26,0)*0.5+IFERROR(='입력데이터'!P26,0)*0.8+IFERROR(='입력데이터'!AG26,0)</x:f>
        <x:v>0</x:v>
      </x:c>
      <x:c r="AG26" s="15" t="n">
        <x:f>IFERROR(='입력데이터'!AJ26,0)*8+IFERROR(IFERROR(='입력데이터'!AJ26,0)/IFERROR(='입력데이터'!AK26,0),0)*30</x:f>
        <x:v>0</x:v>
      </x:c>
      <x:c r="AH26" s="15" t="n">
        <x:f>IFERROR(='입력데이터'!AJ26,0)*6+IFERROR(='입력데이터'!AH26,0)*4</x:f>
        <x:v>0</x:v>
      </x:c>
      <x:c r="AI26" s="15" t="n">
        <x:f>IFERROR(='입력데이터'!AP26,0)*0.4+IFERROR(='입력데이터'!AE26,0)*1.5+IFERROR(='입력데이터'!Q26,0)*1.5</x:f>
        <x:v>0</x:v>
      </x:c>
      <x:c r="AJ26" s="15" t="n">
        <x:f>MAX(0,IFERROR(='입력데이터'!P26,0)-IFERROR(='입력데이터'!Q26,0)*2-IFERROR(='입력데이터'!T26,0)*3-IFERROR(='입력데이터'!Z26,0))*1.5+IFERROR(='입력데이터'!Y26,0)*0.3</x:f>
        <x:v>0</x:v>
      </x:c>
      <x:c r="AK26" s="15" t="n">
        <x:f>IFERROR(='입력데이터'!V26,0)*0.6+IFERROR(='입력데이터'!U26,0)*2+IFERROR(='입력데이터'!T26,0)*3</x:f>
        <x:v>0</x:v>
      </x:c>
      <x:c r="AL26" s="15" t="n">
        <x:f>IFERROR(='입력데이터'!AB26,0)*0.7+IFERROR(='입력데이터'!AA26,0)*1.5</x:f>
        <x:v>0</x:v>
      </x:c>
      <x:c r="AM26" s="15" t="n">
        <x:f>IFERROR(='입력데이터'!AF26,0)*5+IFERROR(IFERROR(='입력데이터'!AF26,0)/IFERROR(='입력데이터'!AL26,0),0)*3+IFERROR(='입력데이터'!AT26,0)</x:f>
        <x:v>0</x:v>
      </x:c>
      <x:c r="AN26" s="15" t="n">
        <x:f>IFERROR(='입력데이터'!AF26,0)*3+IFERROR(='입력데이터'!AG26,0)*3+IFERROR(IFERROR(='입력데이터'!AF26,0)/IFERROR(='입력데이터'!AL26,0),0)*4</x:f>
        <x:v>0</x:v>
      </x:c>
      <x:c r="AO26" s="15" t="n">
        <x:f>IFERROR(='입력데이터'!AG26,0)*12+IFERROR(='입력데이터'!AU26,0)*6</x:f>
        <x:v>0</x:v>
      </x:c>
      <x:c r="AP26" s="15" t="n">
        <x:f>IFERROR(='입력데이터'!AH26,0)*14+IFERROR(='입력데이터'!AD26,0)</x:f>
        <x:v>0</x:v>
      </x:c>
      <x:c r="AQ26" s="15" t="n">
        <x:f>IFERROR(='입력데이터'!AC26,0)*10</x:f>
        <x:v>0</x:v>
      </x:c>
      <x:c r="AR26" s="15" t="n">
        <x:f>IFERROR(='입력데이터'!AD26,0)*7+IFERROR(='입력데이터'!AH26,0)*2</x:f>
        <x:v>0</x:v>
      </x:c>
      <x:c r="AS26" s="15" t="n">
        <x:f>IFERROR(='입력데이터'!AH26,0)*8+IFERROR(='입력데이터'!AD26,0)*2+IFERROR(='입력데이터'!AI26,0)*4</x:f>
        <x:v>0</x:v>
      </x:c>
      <x:c r="AT26" s="16" t="n">
        <x:f>IFERROR(='입력데이터'!AG26,0)*8+IFERROR(='입력데이터'!AI26,0)*5+IFERROR(='입력데이터'!AU26,0)*4</x:f>
        <x:v>0</x:v>
      </x:c>
    </x:row>
    <x:row r="27">
      <x:c r="A27" s="14" t="str">
        <x:f>IF('입력데이터'!$B27="","",'입력데이터'!A27)</x:f>
      </x:c>
      <x:c r="B27" s="15" t="str">
        <x:f>IF('입력데이터'!$B27="","",'입력데이터'!B27)</x:f>
      </x:c>
      <x:c r="C27" s="15" t="str">
        <x:f>IF('입력데이터'!$B27="","",'입력데이터'!K27)</x:f>
      </x:c>
      <x:c r="D27" s="15" t="str">
        <x:f>IF('입력데이터'!$B27="","",'입력데이터'!H27)</x:f>
      </x:c>
      <x:c r="E27" s="15" t="str">
        <x:f>IF('입력데이터'!$B27="","",'입력데이터'!I27)</x:f>
      </x:c>
      <x:c r="F27" s="15" t="str">
        <x:f>IF('입력데이터'!$B27="","",'입력데이터'!J27)</x:f>
      </x:c>
      <x:c r="G27" s="15" t="str">
        <x:f>IF('입력데이터'!$B27="","",'입력데이터'!L27)</x:f>
      </x:c>
      <x:c r="H27" s="15" t="str">
        <x:f>IF('입력데이터'!$B27="","",'입력데이터'!O27)</x:f>
      </x:c>
      <x:c r="I27" s="20" t="str">
        <x:f>IF($B27="", "", ROUND(MAX(30, MIN(99, IFERROR((AE27-MIN($AE$2:$AE$101))/(MAX($AE$2:$AE$101)-MIN($AE$2:$AE$101))*99,30))),0))</x:f>
      </x:c>
      <x:c r="J27" s="20" t="str">
        <x:f>IF($B27="", "", ROUND(MAX(30, MIN(99, IFERROR((AF27-MIN($AF$2:$AF$101))/(MAX($AF$2:$AF$101)-MIN($AF$2:$AF$101))*99,30))),0))</x:f>
      </x:c>
      <x:c r="K27" s="20" t="str">
        <x:f>IF($B27="", "", ROUND(MAX(30, MIN(99, IFERROR((AG27-MIN($AG$2:$AG$101))/(MAX($AG$2:$AG$101)-MIN($AG$2:$AG$101))*99,30))),0))</x:f>
      </x:c>
      <x:c r="L27" s="20" t="str">
        <x:f>IF($B27="", "", ROUND(MAX(30, MIN(99, IFERROR((AH27-MIN($AH$2:$AH$101))/(MAX($AH$2:$AH$101)-MIN($AH$2:$AH$101))*99,30))),0))</x:f>
      </x:c>
      <x:c r="M27" s="20" t="str">
        <x:f>IF($B27="", "", ROUND(MAX(30, MIN(99, IFERROR((AI27-MIN($AI$2:$AI$101))/(MAX($AI$2:$AI$101)-MIN($AI$2:$AI$101))*99,30))),0))</x:f>
      </x:c>
      <x:c r="N27" s="20" t="str">
        <x:f>IF($B27="", "", ROUND(MAX(30, MIN(99, IFERROR((AJ27-MIN($AJ$2:$AJ$101))/(MAX($AJ$2:$AJ$101)-MIN($AJ$2:$AJ$101))*99,30))),0))</x:f>
      </x:c>
      <x:c r="O27" s="20" t="str">
        <x:f>IF($B27="", "", ROUND(MAX(30, MIN(99, IFERROR((AK27-MIN($AK$2:$AK$101))/(MAX($AK$2:$AK$101)-MIN($AK$2:$AK$101))*99,30))),0))</x:f>
      </x:c>
      <x:c r="P27" s="20" t="str">
        <x:f>IF($B27="", "", ROUND(MAX(30, MIN(99, IFERROR((AL27-MIN($AL$2:$AL$101))/(MAX($AL$2:$AL$101)-MIN($AL$2:$AL$101))*99,30))),0))</x:f>
      </x:c>
      <x:c r="Q27" s="20" t="str">
        <x:f>IF($B27="", "", ROUND(MAX(30, MIN(99, IFERROR((AM27-MIN($AM$2:$AM$101))/(MAX($AM$2:$AM$101)-MIN($AM$2:$AM$101))*99,30))),0))</x:f>
      </x:c>
      <x:c r="R27" s="20" t="str">
        <x:f>IF($B27="", "", ROUND(MAX(30, MIN(99, IFERROR((AN27-MIN($AN$2:$AN$101))/(MAX($AN$2:$AN$101)-MIN($AN$2:$AN$101))*99,30))),0))</x:f>
      </x:c>
      <x:c r="S27" s="20" t="str">
        <x:f>IF($B27="", "", ROUND(MAX(30, MIN(99, IFERROR((AO27-MIN($AO$2:$AO$101))/(MAX($AO$2:$AO$101)-MIN($AO$2:$AO$101))*99,30))),0))</x:f>
      </x:c>
      <x:c r="T27" s="20" t="str">
        <x:f>IF($B27="", "", ROUND(MAX(30, MIN(99, IFERROR((AP27-MIN($AP$2:$AP$101))/(MAX($AP$2:$AP$101)-MIN($AP$2:$AP$101))*99,30))),0))</x:f>
      </x:c>
      <x:c r="U27" s="20" t="str">
        <x:f>IF($B27="", "", ROUND(MAX(30, MIN(99, IFERROR((AQ27-MIN($AQ$2:$AQ$101))/(MAX($AQ$2:$AQ$101)-MIN($AQ$2:$AQ$101))*99,30))),0))</x:f>
      </x:c>
      <x:c r="V27" s="20" t="str">
        <x:f>IF($B27="", "", ROUND(MAX(30, MIN(99, IFERROR((AR27-MIN($AR$2:$AR$101))/(MAX($AR$2:$AR$101)-MIN($AR$2:$AR$101))*99,30))),0))</x:f>
      </x:c>
      <x:c r="W27" s="20" t="str">
        <x:f>IF($B27="", "", ROUND(MAX(30, MIN(99, IFERROR((AS27-MIN($AS$2:$AS$101))/(MAX($AS$2:$AS$101)-MIN($AS$2:$AS$101))*99,30))),0))</x:f>
      </x:c>
      <x:c r="X27" s="20" t="str">
        <x:f>IF($B27="", "", ROUND(MAX(30, MIN(99, IFERROR((AT27-MIN($AT$2:$AT$101))/(MAX($AT$2:$AT$101)-MIN($AT$2:$AT$101))*99,30))),0))</x:f>
      </x:c>
      <x:c r="Y27" s="20" t="str">
        <x:f>IF($B27="","",ROUND(AVERAGE(I27:X27),0))</x:f>
      </x:c>
      <x:c r="Z27" s="20" t="str">
        <x:f>IF($B27="","",ROUND(MAX(30,MIN(99,IFS(ISNUMBER(SEARCH("PG",UPPER(SUBSTITUTE($C27,"/","-")))),84,ISNUMBER(SEARCH("SG",UPPER(SUBSTITUTE($C27,"/","-")))),76,ISNUMBER(SEARCH("SF",UPPER(SUBSTITUTE($C27,"/","-")))),68,ISNUMBER(SEARCH("PF",UPPER(SUBSTITUTE($C27,"/","-")))),55,ISNUMBER(SEARCH("C",UPPER(SUBSTITUTE($C27,"/","-")))),42,TRUE,65)+((195-IFERROR($D27,195))*0.15)+((95-IFERROR($E27,95))*0.08))),0))</x:f>
      </x:c>
      <x:c r="AA27" s="20" t="str">
        <x:f>IF($B27="","",ROUND(MAX(30,MIN(99,IFS(ISNUMBER(SEARCH("PG",UPPER(SUBSTITUTE($C27,"/","-")))),84,ISNUMBER(SEARCH("SG",UPPER(SUBSTITUTE($C27,"/","-")))),76,ISNUMBER(SEARCH("SF",UPPER(SUBSTITUTE($C27,"/","-")))),68,ISNUMBER(SEARCH("PF",UPPER(SUBSTITUTE($C27,"/","-")))),55,ISNUMBER(SEARCH("C",UPPER(SUBSTITUTE($C27,"/","-")))),42,TRUE,65)+((195-IFERROR($D27,195))*0.18)+((95-IFERROR($E27,95))*0.10))),0))</x:f>
      </x:c>
      <x:c r="AB27" s="20" t="str">
        <x:f>IF($B27="","",ROUND(MAX(30,MIN(99,IFS(ISNUMBER(SEARCH("PG",UPPER(SUBSTITUTE($C27,"/","-")))),84,ISNUMBER(SEARCH("SG",UPPER(SUBSTITUTE($C27,"/","-")))),76,ISNUMBER(SEARCH("SF",UPPER(SUBSTITUTE($C27,"/","-")))),68,ISNUMBER(SEARCH("PF",UPPER(SUBSTITUTE($C27,"/","-")))),55,ISNUMBER(SEARCH("C",UPPER(SUBSTITUTE($C27,"/","-")))),42,TRUE,65)+2+((195-IFERROR($D27,195))*0.14)+((95-IFERROR($E27,95))*0.09))),0))</x:f>
      </x:c>
      <x:c r="AC27" s="20" t="str">
        <x:f>IF($B27="","",ROUND(MAX(30,MIN(99,IFS(ISNUMBER(SEARCH("C",UPPER(SUBSTITUTE($C27,"/","-")))),92,ISNUMBER(SEARCH("PF",UPPER(SUBSTITUTE($C27,"/","-")))),82,ISNUMBER(SEARCH("SF",UPPER(SUBSTITUTE($C27,"/","-")))),64,ISNUMBER(SEARCH("SG",UPPER(SUBSTITUTE($C27,"/","-")))),48,ISNUMBER(SEARCH("PG",UPPER(SUBSTITUTE($C27,"/","-")))),36,TRUE,60)+((IFERROR($E27,95)-95)*0.45)+((IFERROR($D27,195)-195)*0.10)+((IFERROR($F27,200)-200)*0.08))),0))</x:f>
      </x:c>
      <x:c r="AD27" s="20" t="str">
        <x:f>IF($B27="","",ROUND(MAX(30,MIN(99,65+((IFERROR($F27,200)-200)*0.22)+((IFERROR($D27,195)-195)*0.08)-((IFERROR($E27,95)-95)*0.07))),0))</x:f>
      </x:c>
      <x:c r="AE27" s="15" t="n">
        <x:f>IFERROR(='입력데이터'!S27,0)*0.4+IFERROR(='입력데이터'!AP27,0)*0.4+IFERROR(='입력데이터'!AO27,0)*0.5</x:f>
        <x:v>0</x:v>
      </x:c>
      <x:c r="AF27" s="15" t="n">
        <x:f>IFERROR(='입력데이터'!S27,0)*0.5+IFERROR(='입력데이터'!P27,0)*0.8+IFERROR(='입력데이터'!AG27,0)</x:f>
        <x:v>0</x:v>
      </x:c>
      <x:c r="AG27" s="15" t="n">
        <x:f>IFERROR(='입력데이터'!AJ27,0)*8+IFERROR(IFERROR(='입력데이터'!AJ27,0)/IFERROR(='입력데이터'!AK27,0),0)*30</x:f>
        <x:v>0</x:v>
      </x:c>
      <x:c r="AH27" s="15" t="n">
        <x:f>IFERROR(='입력데이터'!AJ27,0)*6+IFERROR(='입력데이터'!AH27,0)*4</x:f>
        <x:v>0</x:v>
      </x:c>
      <x:c r="AI27" s="15" t="n">
        <x:f>IFERROR(='입력데이터'!AP27,0)*0.4+IFERROR(='입력데이터'!AE27,0)*1.5+IFERROR(='입력데이터'!Q27,0)*1.5</x:f>
        <x:v>0</x:v>
      </x:c>
      <x:c r="AJ27" s="15" t="n">
        <x:f>MAX(0,IFERROR(='입력데이터'!P27,0)-IFERROR(='입력데이터'!Q27,0)*2-IFERROR(='입력데이터'!T27,0)*3-IFERROR(='입력데이터'!Z27,0))*1.5+IFERROR(='입력데이터'!Y27,0)*0.3</x:f>
        <x:v>0</x:v>
      </x:c>
      <x:c r="AK27" s="15" t="n">
        <x:f>IFERROR(='입력데이터'!V27,0)*0.6+IFERROR(='입력데이터'!U27,0)*2+IFERROR(='입력데이터'!T27,0)*3</x:f>
        <x:v>0</x:v>
      </x:c>
      <x:c r="AL27" s="15" t="n">
        <x:f>IFERROR(='입력데이터'!AB27,0)*0.7+IFERROR(='입력데이터'!AA27,0)*1.5</x:f>
        <x:v>0</x:v>
      </x:c>
      <x:c r="AM27" s="15" t="n">
        <x:f>IFERROR(='입력데이터'!AF27,0)*5+IFERROR(IFERROR(='입력데이터'!AF27,0)/IFERROR(='입력데이터'!AL27,0),0)*3+IFERROR(='입력데이터'!AT27,0)</x:f>
        <x:v>0</x:v>
      </x:c>
      <x:c r="AN27" s="15" t="n">
        <x:f>IFERROR(='입력데이터'!AF27,0)*3+IFERROR(='입력데이터'!AG27,0)*3+IFERROR(IFERROR(='입력데이터'!AF27,0)/IFERROR(='입력데이터'!AL27,0),0)*4</x:f>
        <x:v>0</x:v>
      </x:c>
      <x:c r="AO27" s="15" t="n">
        <x:f>IFERROR(='입력데이터'!AG27,0)*12+IFERROR(='입력데이터'!AU27,0)*6</x:f>
        <x:v>0</x:v>
      </x:c>
      <x:c r="AP27" s="15" t="n">
        <x:f>IFERROR(='입력데이터'!AH27,0)*14+IFERROR(='입력데이터'!AD27,0)</x:f>
        <x:v>0</x:v>
      </x:c>
      <x:c r="AQ27" s="15" t="n">
        <x:f>IFERROR(='입력데이터'!AC27,0)*10</x:f>
        <x:v>0</x:v>
      </x:c>
      <x:c r="AR27" s="15" t="n">
        <x:f>IFERROR(='입력데이터'!AD27,0)*7+IFERROR(='입력데이터'!AH27,0)*2</x:f>
        <x:v>0</x:v>
      </x:c>
      <x:c r="AS27" s="15" t="n">
        <x:f>IFERROR(='입력데이터'!AH27,0)*8+IFERROR(='입력데이터'!AD27,0)*2+IFERROR(='입력데이터'!AI27,0)*4</x:f>
        <x:v>0</x:v>
      </x:c>
      <x:c r="AT27" s="16" t="n">
        <x:f>IFERROR(='입력데이터'!AG27,0)*8+IFERROR(='입력데이터'!AI27,0)*5+IFERROR(='입력데이터'!AU27,0)*4</x:f>
        <x:v>0</x:v>
      </x:c>
    </x:row>
    <x:row r="28">
      <x:c r="A28" s="14" t="str">
        <x:f>IF('입력데이터'!$B28="","",'입력데이터'!A28)</x:f>
      </x:c>
      <x:c r="B28" s="15" t="str">
        <x:f>IF('입력데이터'!$B28="","",'입력데이터'!B28)</x:f>
      </x:c>
      <x:c r="C28" s="15" t="str">
        <x:f>IF('입력데이터'!$B28="","",'입력데이터'!K28)</x:f>
      </x:c>
      <x:c r="D28" s="15" t="str">
        <x:f>IF('입력데이터'!$B28="","",'입력데이터'!H28)</x:f>
      </x:c>
      <x:c r="E28" s="15" t="str">
        <x:f>IF('입력데이터'!$B28="","",'입력데이터'!I28)</x:f>
      </x:c>
      <x:c r="F28" s="15" t="str">
        <x:f>IF('입력데이터'!$B28="","",'입력데이터'!J28)</x:f>
      </x:c>
      <x:c r="G28" s="15" t="str">
        <x:f>IF('입력데이터'!$B28="","",'입력데이터'!L28)</x:f>
      </x:c>
      <x:c r="H28" s="15" t="str">
        <x:f>IF('입력데이터'!$B28="","",'입력데이터'!O28)</x:f>
      </x:c>
      <x:c r="I28" s="20" t="str">
        <x:f>IF($B28="", "", ROUND(MAX(30, MIN(99, IFERROR((AE28-MIN($AE$2:$AE$101))/(MAX($AE$2:$AE$101)-MIN($AE$2:$AE$101))*99,30))),0))</x:f>
      </x:c>
      <x:c r="J28" s="20" t="str">
        <x:f>IF($B28="", "", ROUND(MAX(30, MIN(99, IFERROR((AF28-MIN($AF$2:$AF$101))/(MAX($AF$2:$AF$101)-MIN($AF$2:$AF$101))*99,30))),0))</x:f>
      </x:c>
      <x:c r="K28" s="20" t="str">
        <x:f>IF($B28="", "", ROUND(MAX(30, MIN(99, IFERROR((AG28-MIN($AG$2:$AG$101))/(MAX($AG$2:$AG$101)-MIN($AG$2:$AG$101))*99,30))),0))</x:f>
      </x:c>
      <x:c r="L28" s="20" t="str">
        <x:f>IF($B28="", "", ROUND(MAX(30, MIN(99, IFERROR((AH28-MIN($AH$2:$AH$101))/(MAX($AH$2:$AH$101)-MIN($AH$2:$AH$101))*99,30))),0))</x:f>
      </x:c>
      <x:c r="M28" s="20" t="str">
        <x:f>IF($B28="", "", ROUND(MAX(30, MIN(99, IFERROR((AI28-MIN($AI$2:$AI$101))/(MAX($AI$2:$AI$101)-MIN($AI$2:$AI$101))*99,30))),0))</x:f>
      </x:c>
      <x:c r="N28" s="20" t="str">
        <x:f>IF($B28="", "", ROUND(MAX(30, MIN(99, IFERROR((AJ28-MIN($AJ$2:$AJ$101))/(MAX($AJ$2:$AJ$101)-MIN($AJ$2:$AJ$101))*99,30))),0))</x:f>
      </x:c>
      <x:c r="O28" s="20" t="str">
        <x:f>IF($B28="", "", ROUND(MAX(30, MIN(99, IFERROR((AK28-MIN($AK$2:$AK$101))/(MAX($AK$2:$AK$101)-MIN($AK$2:$AK$101))*99,30))),0))</x:f>
      </x:c>
      <x:c r="P28" s="20" t="str">
        <x:f>IF($B28="", "", ROUND(MAX(30, MIN(99, IFERROR((AL28-MIN($AL$2:$AL$101))/(MAX($AL$2:$AL$101)-MIN($AL$2:$AL$101))*99,30))),0))</x:f>
      </x:c>
      <x:c r="Q28" s="20" t="str">
        <x:f>IF($B28="", "", ROUND(MAX(30, MIN(99, IFERROR((AM28-MIN($AM$2:$AM$101))/(MAX($AM$2:$AM$101)-MIN($AM$2:$AM$101))*99,30))),0))</x:f>
      </x:c>
      <x:c r="R28" s="20" t="str">
        <x:f>IF($B28="", "", ROUND(MAX(30, MIN(99, IFERROR((AN28-MIN($AN$2:$AN$101))/(MAX($AN$2:$AN$101)-MIN($AN$2:$AN$101))*99,30))),0))</x:f>
      </x:c>
      <x:c r="S28" s="20" t="str">
        <x:f>IF($B28="", "", ROUND(MAX(30, MIN(99, IFERROR((AO28-MIN($AO$2:$AO$101))/(MAX($AO$2:$AO$101)-MIN($AO$2:$AO$101))*99,30))),0))</x:f>
      </x:c>
      <x:c r="T28" s="20" t="str">
        <x:f>IF($B28="", "", ROUND(MAX(30, MIN(99, IFERROR((AP28-MIN($AP$2:$AP$101))/(MAX($AP$2:$AP$101)-MIN($AP$2:$AP$101))*99,30))),0))</x:f>
      </x:c>
      <x:c r="U28" s="20" t="str">
        <x:f>IF($B28="", "", ROUND(MAX(30, MIN(99, IFERROR((AQ28-MIN($AQ$2:$AQ$101))/(MAX($AQ$2:$AQ$101)-MIN($AQ$2:$AQ$101))*99,30))),0))</x:f>
      </x:c>
      <x:c r="V28" s="20" t="str">
        <x:f>IF($B28="", "", ROUND(MAX(30, MIN(99, IFERROR((AR28-MIN($AR$2:$AR$101))/(MAX($AR$2:$AR$101)-MIN($AR$2:$AR$101))*99,30))),0))</x:f>
      </x:c>
      <x:c r="W28" s="20" t="str">
        <x:f>IF($B28="", "", ROUND(MAX(30, MIN(99, IFERROR((AS28-MIN($AS$2:$AS$101))/(MAX($AS$2:$AS$101)-MIN($AS$2:$AS$101))*99,30))),0))</x:f>
      </x:c>
      <x:c r="X28" s="20" t="str">
        <x:f>IF($B28="", "", ROUND(MAX(30, MIN(99, IFERROR((AT28-MIN($AT$2:$AT$101))/(MAX($AT$2:$AT$101)-MIN($AT$2:$AT$101))*99,30))),0))</x:f>
      </x:c>
      <x:c r="Y28" s="20" t="str">
        <x:f>IF($B28="","",ROUND(AVERAGE(I28:X28),0))</x:f>
      </x:c>
      <x:c r="Z28" s="20" t="str">
        <x:f>IF($B28="","",ROUND(MAX(30,MIN(99,IFS(ISNUMBER(SEARCH("PG",UPPER(SUBSTITUTE($C28,"/","-")))),84,ISNUMBER(SEARCH("SG",UPPER(SUBSTITUTE($C28,"/","-")))),76,ISNUMBER(SEARCH("SF",UPPER(SUBSTITUTE($C28,"/","-")))),68,ISNUMBER(SEARCH("PF",UPPER(SUBSTITUTE($C28,"/","-")))),55,ISNUMBER(SEARCH("C",UPPER(SUBSTITUTE($C28,"/","-")))),42,TRUE,65)+((195-IFERROR($D28,195))*0.15)+((95-IFERROR($E28,95))*0.08))),0))</x:f>
      </x:c>
      <x:c r="AA28" s="20" t="str">
        <x:f>IF($B28="","",ROUND(MAX(30,MIN(99,IFS(ISNUMBER(SEARCH("PG",UPPER(SUBSTITUTE($C28,"/","-")))),84,ISNUMBER(SEARCH("SG",UPPER(SUBSTITUTE($C28,"/","-")))),76,ISNUMBER(SEARCH("SF",UPPER(SUBSTITUTE($C28,"/","-")))),68,ISNUMBER(SEARCH("PF",UPPER(SUBSTITUTE($C28,"/","-")))),55,ISNUMBER(SEARCH("C",UPPER(SUBSTITUTE($C28,"/","-")))),42,TRUE,65)+((195-IFERROR($D28,195))*0.18)+((95-IFERROR($E28,95))*0.10))),0))</x:f>
      </x:c>
      <x:c r="AB28" s="20" t="str">
        <x:f>IF($B28="","",ROUND(MAX(30,MIN(99,IFS(ISNUMBER(SEARCH("PG",UPPER(SUBSTITUTE($C28,"/","-")))),84,ISNUMBER(SEARCH("SG",UPPER(SUBSTITUTE($C28,"/","-")))),76,ISNUMBER(SEARCH("SF",UPPER(SUBSTITUTE($C28,"/","-")))),68,ISNUMBER(SEARCH("PF",UPPER(SUBSTITUTE($C28,"/","-")))),55,ISNUMBER(SEARCH("C",UPPER(SUBSTITUTE($C28,"/","-")))),42,TRUE,65)+2+((195-IFERROR($D28,195))*0.14)+((95-IFERROR($E28,95))*0.09))),0))</x:f>
      </x:c>
      <x:c r="AC28" s="20" t="str">
        <x:f>IF($B28="","",ROUND(MAX(30,MIN(99,IFS(ISNUMBER(SEARCH("C",UPPER(SUBSTITUTE($C28,"/","-")))),92,ISNUMBER(SEARCH("PF",UPPER(SUBSTITUTE($C28,"/","-")))),82,ISNUMBER(SEARCH("SF",UPPER(SUBSTITUTE($C28,"/","-")))),64,ISNUMBER(SEARCH("SG",UPPER(SUBSTITUTE($C28,"/","-")))),48,ISNUMBER(SEARCH("PG",UPPER(SUBSTITUTE($C28,"/","-")))),36,TRUE,60)+((IFERROR($E28,95)-95)*0.45)+((IFERROR($D28,195)-195)*0.10)+((IFERROR($F28,200)-200)*0.08))),0))</x:f>
      </x:c>
      <x:c r="AD28" s="20" t="str">
        <x:f>IF($B28="","",ROUND(MAX(30,MIN(99,65+((IFERROR($F28,200)-200)*0.22)+((IFERROR($D28,195)-195)*0.08)-((IFERROR($E28,95)-95)*0.07))),0))</x:f>
      </x:c>
      <x:c r="AE28" s="15" t="n">
        <x:f>IFERROR(='입력데이터'!S28,0)*0.4+IFERROR(='입력데이터'!AP28,0)*0.4+IFERROR(='입력데이터'!AO28,0)*0.5</x:f>
        <x:v>0</x:v>
      </x:c>
      <x:c r="AF28" s="15" t="n">
        <x:f>IFERROR(='입력데이터'!S28,0)*0.5+IFERROR(='입력데이터'!P28,0)*0.8+IFERROR(='입력데이터'!AG28,0)</x:f>
        <x:v>0</x:v>
      </x:c>
      <x:c r="AG28" s="15" t="n">
        <x:f>IFERROR(='입력데이터'!AJ28,0)*8+IFERROR(IFERROR(='입력데이터'!AJ28,0)/IFERROR(='입력데이터'!AK28,0),0)*30</x:f>
        <x:v>0</x:v>
      </x:c>
      <x:c r="AH28" s="15" t="n">
        <x:f>IFERROR(='입력데이터'!AJ28,0)*6+IFERROR(='입력데이터'!AH28,0)*4</x:f>
        <x:v>0</x:v>
      </x:c>
      <x:c r="AI28" s="15" t="n">
        <x:f>IFERROR(='입력데이터'!AP28,0)*0.4+IFERROR(='입력데이터'!AE28,0)*1.5+IFERROR(='입력데이터'!Q28,0)*1.5</x:f>
        <x:v>0</x:v>
      </x:c>
      <x:c r="AJ28" s="15" t="n">
        <x:f>MAX(0,IFERROR(='입력데이터'!P28,0)-IFERROR(='입력데이터'!Q28,0)*2-IFERROR(='입력데이터'!T28,0)*3-IFERROR(='입력데이터'!Z28,0))*1.5+IFERROR(='입력데이터'!Y28,0)*0.3</x:f>
        <x:v>0</x:v>
      </x:c>
      <x:c r="AK28" s="15" t="n">
        <x:f>IFERROR(='입력데이터'!V28,0)*0.6+IFERROR(='입력데이터'!U28,0)*2+IFERROR(='입력데이터'!T28,0)*3</x:f>
        <x:v>0</x:v>
      </x:c>
      <x:c r="AL28" s="15" t="n">
        <x:f>IFERROR(='입력데이터'!AB28,0)*0.7+IFERROR(='입력데이터'!AA28,0)*1.5</x:f>
        <x:v>0</x:v>
      </x:c>
      <x:c r="AM28" s="15" t="n">
        <x:f>IFERROR(='입력데이터'!AF28,0)*5+IFERROR(IFERROR(='입력데이터'!AF28,0)/IFERROR(='입력데이터'!AL28,0),0)*3+IFERROR(='입력데이터'!AT28,0)</x:f>
        <x:v>0</x:v>
      </x:c>
      <x:c r="AN28" s="15" t="n">
        <x:f>IFERROR(='입력데이터'!AF28,0)*3+IFERROR(='입력데이터'!AG28,0)*3+IFERROR(IFERROR(='입력데이터'!AF28,0)/IFERROR(='입력데이터'!AL28,0),0)*4</x:f>
        <x:v>0</x:v>
      </x:c>
      <x:c r="AO28" s="15" t="n">
        <x:f>IFERROR(='입력데이터'!AG28,0)*12+IFERROR(='입력데이터'!AU28,0)*6</x:f>
        <x:v>0</x:v>
      </x:c>
      <x:c r="AP28" s="15" t="n">
        <x:f>IFERROR(='입력데이터'!AH28,0)*14+IFERROR(='입력데이터'!AD28,0)</x:f>
        <x:v>0</x:v>
      </x:c>
      <x:c r="AQ28" s="15" t="n">
        <x:f>IFERROR(='입력데이터'!AC28,0)*10</x:f>
        <x:v>0</x:v>
      </x:c>
      <x:c r="AR28" s="15" t="n">
        <x:f>IFERROR(='입력데이터'!AD28,0)*7+IFERROR(='입력데이터'!AH28,0)*2</x:f>
        <x:v>0</x:v>
      </x:c>
      <x:c r="AS28" s="15" t="n">
        <x:f>IFERROR(='입력데이터'!AH28,0)*8+IFERROR(='입력데이터'!AD28,0)*2+IFERROR(='입력데이터'!AI28,0)*4</x:f>
        <x:v>0</x:v>
      </x:c>
      <x:c r="AT28" s="16" t="n">
        <x:f>IFERROR(='입력데이터'!AG28,0)*8+IFERROR(='입력데이터'!AI28,0)*5+IFERROR(='입력데이터'!AU28,0)*4</x:f>
        <x:v>0</x:v>
      </x:c>
    </x:row>
    <x:row r="29">
      <x:c r="A29" s="14" t="str">
        <x:f>IF('입력데이터'!$B29="","",'입력데이터'!A29)</x:f>
      </x:c>
      <x:c r="B29" s="15" t="str">
        <x:f>IF('입력데이터'!$B29="","",'입력데이터'!B29)</x:f>
      </x:c>
      <x:c r="C29" s="15" t="str">
        <x:f>IF('입력데이터'!$B29="","",'입력데이터'!K29)</x:f>
      </x:c>
      <x:c r="D29" s="15" t="str">
        <x:f>IF('입력데이터'!$B29="","",'입력데이터'!H29)</x:f>
      </x:c>
      <x:c r="E29" s="15" t="str">
        <x:f>IF('입력데이터'!$B29="","",'입력데이터'!I29)</x:f>
      </x:c>
      <x:c r="F29" s="15" t="str">
        <x:f>IF('입력데이터'!$B29="","",'입력데이터'!J29)</x:f>
      </x:c>
      <x:c r="G29" s="15" t="str">
        <x:f>IF('입력데이터'!$B29="","",'입력데이터'!L29)</x:f>
      </x:c>
      <x:c r="H29" s="15" t="str">
        <x:f>IF('입력데이터'!$B29="","",'입력데이터'!O29)</x:f>
      </x:c>
      <x:c r="I29" s="20" t="str">
        <x:f>IF($B29="", "", ROUND(MAX(30, MIN(99, IFERROR((AE29-MIN($AE$2:$AE$101))/(MAX($AE$2:$AE$101)-MIN($AE$2:$AE$101))*99,30))),0))</x:f>
      </x:c>
      <x:c r="J29" s="20" t="str">
        <x:f>IF($B29="", "", ROUND(MAX(30, MIN(99, IFERROR((AF29-MIN($AF$2:$AF$101))/(MAX($AF$2:$AF$101)-MIN($AF$2:$AF$101))*99,30))),0))</x:f>
      </x:c>
      <x:c r="K29" s="20" t="str">
        <x:f>IF($B29="", "", ROUND(MAX(30, MIN(99, IFERROR((AG29-MIN($AG$2:$AG$101))/(MAX($AG$2:$AG$101)-MIN($AG$2:$AG$101))*99,30))),0))</x:f>
      </x:c>
      <x:c r="L29" s="20" t="str">
        <x:f>IF($B29="", "", ROUND(MAX(30, MIN(99, IFERROR((AH29-MIN($AH$2:$AH$101))/(MAX($AH$2:$AH$101)-MIN($AH$2:$AH$101))*99,30))),0))</x:f>
      </x:c>
      <x:c r="M29" s="20" t="str">
        <x:f>IF($B29="", "", ROUND(MAX(30, MIN(99, IFERROR((AI29-MIN($AI$2:$AI$101))/(MAX($AI$2:$AI$101)-MIN($AI$2:$AI$101))*99,30))),0))</x:f>
      </x:c>
      <x:c r="N29" s="20" t="str">
        <x:f>IF($B29="", "", ROUND(MAX(30, MIN(99, IFERROR((AJ29-MIN($AJ$2:$AJ$101))/(MAX($AJ$2:$AJ$101)-MIN($AJ$2:$AJ$101))*99,30))),0))</x:f>
      </x:c>
      <x:c r="O29" s="20" t="str">
        <x:f>IF($B29="", "", ROUND(MAX(30, MIN(99, IFERROR((AK29-MIN($AK$2:$AK$101))/(MAX($AK$2:$AK$101)-MIN($AK$2:$AK$101))*99,30))),0))</x:f>
      </x:c>
      <x:c r="P29" s="20" t="str">
        <x:f>IF($B29="", "", ROUND(MAX(30, MIN(99, IFERROR((AL29-MIN($AL$2:$AL$101))/(MAX($AL$2:$AL$101)-MIN($AL$2:$AL$101))*99,30))),0))</x:f>
      </x:c>
      <x:c r="Q29" s="20" t="str">
        <x:f>IF($B29="", "", ROUND(MAX(30, MIN(99, IFERROR((AM29-MIN($AM$2:$AM$101))/(MAX($AM$2:$AM$101)-MIN($AM$2:$AM$101))*99,30))),0))</x:f>
      </x:c>
      <x:c r="R29" s="20" t="str">
        <x:f>IF($B29="", "", ROUND(MAX(30, MIN(99, IFERROR((AN29-MIN($AN$2:$AN$101))/(MAX($AN$2:$AN$101)-MIN($AN$2:$AN$101))*99,30))),0))</x:f>
      </x:c>
      <x:c r="S29" s="20" t="str">
        <x:f>IF($B29="", "", ROUND(MAX(30, MIN(99, IFERROR((AO29-MIN($AO$2:$AO$101))/(MAX($AO$2:$AO$101)-MIN($AO$2:$AO$101))*99,30))),0))</x:f>
      </x:c>
      <x:c r="T29" s="20" t="str">
        <x:f>IF($B29="", "", ROUND(MAX(30, MIN(99, IFERROR((AP29-MIN($AP$2:$AP$101))/(MAX($AP$2:$AP$101)-MIN($AP$2:$AP$101))*99,30))),0))</x:f>
      </x:c>
      <x:c r="U29" s="20" t="str">
        <x:f>IF($B29="", "", ROUND(MAX(30, MIN(99, IFERROR((AQ29-MIN($AQ$2:$AQ$101))/(MAX($AQ$2:$AQ$101)-MIN($AQ$2:$AQ$101))*99,30))),0))</x:f>
      </x:c>
      <x:c r="V29" s="20" t="str">
        <x:f>IF($B29="", "", ROUND(MAX(30, MIN(99, IFERROR((AR29-MIN($AR$2:$AR$101))/(MAX($AR$2:$AR$101)-MIN($AR$2:$AR$101))*99,30))),0))</x:f>
      </x:c>
      <x:c r="W29" s="20" t="str">
        <x:f>IF($B29="", "", ROUND(MAX(30, MIN(99, IFERROR((AS29-MIN($AS$2:$AS$101))/(MAX($AS$2:$AS$101)-MIN($AS$2:$AS$101))*99,30))),0))</x:f>
      </x:c>
      <x:c r="X29" s="20" t="str">
        <x:f>IF($B29="", "", ROUND(MAX(30, MIN(99, IFERROR((AT29-MIN($AT$2:$AT$101))/(MAX($AT$2:$AT$101)-MIN($AT$2:$AT$101))*99,30))),0))</x:f>
      </x:c>
      <x:c r="Y29" s="20" t="str">
        <x:f>IF($B29="","",ROUND(AVERAGE(I29:X29),0))</x:f>
      </x:c>
      <x:c r="Z29" s="20" t="str">
        <x:f>IF($B29="","",ROUND(MAX(30,MIN(99,IFS(ISNUMBER(SEARCH("PG",UPPER(SUBSTITUTE($C29,"/","-")))),84,ISNUMBER(SEARCH("SG",UPPER(SUBSTITUTE($C29,"/","-")))),76,ISNUMBER(SEARCH("SF",UPPER(SUBSTITUTE($C29,"/","-")))),68,ISNUMBER(SEARCH("PF",UPPER(SUBSTITUTE($C29,"/","-")))),55,ISNUMBER(SEARCH("C",UPPER(SUBSTITUTE($C29,"/","-")))),42,TRUE,65)+((195-IFERROR($D29,195))*0.15)+((95-IFERROR($E29,95))*0.08))),0))</x:f>
      </x:c>
      <x:c r="AA29" s="20" t="str">
        <x:f>IF($B29="","",ROUND(MAX(30,MIN(99,IFS(ISNUMBER(SEARCH("PG",UPPER(SUBSTITUTE($C29,"/","-")))),84,ISNUMBER(SEARCH("SG",UPPER(SUBSTITUTE($C29,"/","-")))),76,ISNUMBER(SEARCH("SF",UPPER(SUBSTITUTE($C29,"/","-")))),68,ISNUMBER(SEARCH("PF",UPPER(SUBSTITUTE($C29,"/","-")))),55,ISNUMBER(SEARCH("C",UPPER(SUBSTITUTE($C29,"/","-")))),42,TRUE,65)+((195-IFERROR($D29,195))*0.18)+((95-IFERROR($E29,95))*0.10))),0))</x:f>
      </x:c>
      <x:c r="AB29" s="20" t="str">
        <x:f>IF($B29="","",ROUND(MAX(30,MIN(99,IFS(ISNUMBER(SEARCH("PG",UPPER(SUBSTITUTE($C29,"/","-")))),84,ISNUMBER(SEARCH("SG",UPPER(SUBSTITUTE($C29,"/","-")))),76,ISNUMBER(SEARCH("SF",UPPER(SUBSTITUTE($C29,"/","-")))),68,ISNUMBER(SEARCH("PF",UPPER(SUBSTITUTE($C29,"/","-")))),55,ISNUMBER(SEARCH("C",UPPER(SUBSTITUTE($C29,"/","-")))),42,TRUE,65)+2+((195-IFERROR($D29,195))*0.14)+((95-IFERROR($E29,95))*0.09))),0))</x:f>
      </x:c>
      <x:c r="AC29" s="20" t="str">
        <x:f>IF($B29="","",ROUND(MAX(30,MIN(99,IFS(ISNUMBER(SEARCH("C",UPPER(SUBSTITUTE($C29,"/","-")))),92,ISNUMBER(SEARCH("PF",UPPER(SUBSTITUTE($C29,"/","-")))),82,ISNUMBER(SEARCH("SF",UPPER(SUBSTITUTE($C29,"/","-")))),64,ISNUMBER(SEARCH("SG",UPPER(SUBSTITUTE($C29,"/","-")))),48,ISNUMBER(SEARCH("PG",UPPER(SUBSTITUTE($C29,"/","-")))),36,TRUE,60)+((IFERROR($E29,95)-95)*0.45)+((IFERROR($D29,195)-195)*0.10)+((IFERROR($F29,200)-200)*0.08))),0))</x:f>
      </x:c>
      <x:c r="AD29" s="20" t="str">
        <x:f>IF($B29="","",ROUND(MAX(30,MIN(99,65+((IFERROR($F29,200)-200)*0.22)+((IFERROR($D29,195)-195)*0.08)-((IFERROR($E29,95)-95)*0.07))),0))</x:f>
      </x:c>
      <x:c r="AE29" s="15" t="n">
        <x:f>IFERROR(='입력데이터'!S29,0)*0.4+IFERROR(='입력데이터'!AP29,0)*0.4+IFERROR(='입력데이터'!AO29,0)*0.5</x:f>
        <x:v>0</x:v>
      </x:c>
      <x:c r="AF29" s="15" t="n">
        <x:f>IFERROR(='입력데이터'!S29,0)*0.5+IFERROR(='입력데이터'!P29,0)*0.8+IFERROR(='입력데이터'!AG29,0)</x:f>
        <x:v>0</x:v>
      </x:c>
      <x:c r="AG29" s="15" t="n">
        <x:f>IFERROR(='입력데이터'!AJ29,0)*8+IFERROR(IFERROR(='입력데이터'!AJ29,0)/IFERROR(='입력데이터'!AK29,0),0)*30</x:f>
        <x:v>0</x:v>
      </x:c>
      <x:c r="AH29" s="15" t="n">
        <x:f>IFERROR(='입력데이터'!AJ29,0)*6+IFERROR(='입력데이터'!AH29,0)*4</x:f>
        <x:v>0</x:v>
      </x:c>
      <x:c r="AI29" s="15" t="n">
        <x:f>IFERROR(='입력데이터'!AP29,0)*0.4+IFERROR(='입력데이터'!AE29,0)*1.5+IFERROR(='입력데이터'!Q29,0)*1.5</x:f>
        <x:v>0</x:v>
      </x:c>
      <x:c r="AJ29" s="15" t="n">
        <x:f>MAX(0,IFERROR(='입력데이터'!P29,0)-IFERROR(='입력데이터'!Q29,0)*2-IFERROR(='입력데이터'!T29,0)*3-IFERROR(='입력데이터'!Z29,0))*1.5+IFERROR(='입력데이터'!Y29,0)*0.3</x:f>
        <x:v>0</x:v>
      </x:c>
      <x:c r="AK29" s="15" t="n">
        <x:f>IFERROR(='입력데이터'!V29,0)*0.6+IFERROR(='입력데이터'!U29,0)*2+IFERROR(='입력데이터'!T29,0)*3</x:f>
        <x:v>0</x:v>
      </x:c>
      <x:c r="AL29" s="15" t="n">
        <x:f>IFERROR(='입력데이터'!AB29,0)*0.7+IFERROR(='입력데이터'!AA29,0)*1.5</x:f>
        <x:v>0</x:v>
      </x:c>
      <x:c r="AM29" s="15" t="n">
        <x:f>IFERROR(='입력데이터'!AF29,0)*5+IFERROR(IFERROR(='입력데이터'!AF29,0)/IFERROR(='입력데이터'!AL29,0),0)*3+IFERROR(='입력데이터'!AT29,0)</x:f>
        <x:v>0</x:v>
      </x:c>
      <x:c r="AN29" s="15" t="n">
        <x:f>IFERROR(='입력데이터'!AF29,0)*3+IFERROR(='입력데이터'!AG29,0)*3+IFERROR(IFERROR(='입력데이터'!AF29,0)/IFERROR(='입력데이터'!AL29,0),0)*4</x:f>
        <x:v>0</x:v>
      </x:c>
      <x:c r="AO29" s="15" t="n">
        <x:f>IFERROR(='입력데이터'!AG29,0)*12+IFERROR(='입력데이터'!AU29,0)*6</x:f>
        <x:v>0</x:v>
      </x:c>
      <x:c r="AP29" s="15" t="n">
        <x:f>IFERROR(='입력데이터'!AH29,0)*14+IFERROR(='입력데이터'!AD29,0)</x:f>
        <x:v>0</x:v>
      </x:c>
      <x:c r="AQ29" s="15" t="n">
        <x:f>IFERROR(='입력데이터'!AC29,0)*10</x:f>
        <x:v>0</x:v>
      </x:c>
      <x:c r="AR29" s="15" t="n">
        <x:f>IFERROR(='입력데이터'!AD29,0)*7+IFERROR(='입력데이터'!AH29,0)*2</x:f>
        <x:v>0</x:v>
      </x:c>
      <x:c r="AS29" s="15" t="n">
        <x:f>IFERROR(='입력데이터'!AH29,0)*8+IFERROR(='입력데이터'!AD29,0)*2+IFERROR(='입력데이터'!AI29,0)*4</x:f>
        <x:v>0</x:v>
      </x:c>
      <x:c r="AT29" s="16" t="n">
        <x:f>IFERROR(='입력데이터'!AG29,0)*8+IFERROR(='입력데이터'!AI29,0)*5+IFERROR(='입력데이터'!AU29,0)*4</x:f>
        <x:v>0</x:v>
      </x:c>
    </x:row>
    <x:row r="30">
      <x:c r="A30" s="14" t="str">
        <x:f>IF('입력데이터'!$B30="","",'입력데이터'!A30)</x:f>
      </x:c>
      <x:c r="B30" s="15" t="str">
        <x:f>IF('입력데이터'!$B30="","",'입력데이터'!B30)</x:f>
      </x:c>
      <x:c r="C30" s="15" t="str">
        <x:f>IF('입력데이터'!$B30="","",'입력데이터'!K30)</x:f>
      </x:c>
      <x:c r="D30" s="15" t="str">
        <x:f>IF('입력데이터'!$B30="","",'입력데이터'!H30)</x:f>
      </x:c>
      <x:c r="E30" s="15" t="str">
        <x:f>IF('입력데이터'!$B30="","",'입력데이터'!I30)</x:f>
      </x:c>
      <x:c r="F30" s="15" t="str">
        <x:f>IF('입력데이터'!$B30="","",'입력데이터'!J30)</x:f>
      </x:c>
      <x:c r="G30" s="15" t="str">
        <x:f>IF('입력데이터'!$B30="","",'입력데이터'!L30)</x:f>
      </x:c>
      <x:c r="H30" s="15" t="str">
        <x:f>IF('입력데이터'!$B30="","",'입력데이터'!O30)</x:f>
      </x:c>
      <x:c r="I30" s="20" t="str">
        <x:f>IF($B30="", "", ROUND(MAX(30, MIN(99, IFERROR((AE30-MIN($AE$2:$AE$101))/(MAX($AE$2:$AE$101)-MIN($AE$2:$AE$101))*99,30))),0))</x:f>
      </x:c>
      <x:c r="J30" s="20" t="str">
        <x:f>IF($B30="", "", ROUND(MAX(30, MIN(99, IFERROR((AF30-MIN($AF$2:$AF$101))/(MAX($AF$2:$AF$101)-MIN($AF$2:$AF$101))*99,30))),0))</x:f>
      </x:c>
      <x:c r="K30" s="20" t="str">
        <x:f>IF($B30="", "", ROUND(MAX(30, MIN(99, IFERROR((AG30-MIN($AG$2:$AG$101))/(MAX($AG$2:$AG$101)-MIN($AG$2:$AG$101))*99,30))),0))</x:f>
      </x:c>
      <x:c r="L30" s="20" t="str">
        <x:f>IF($B30="", "", ROUND(MAX(30, MIN(99, IFERROR((AH30-MIN($AH$2:$AH$101))/(MAX($AH$2:$AH$101)-MIN($AH$2:$AH$101))*99,30))),0))</x:f>
      </x:c>
      <x:c r="M30" s="20" t="str">
        <x:f>IF($B30="", "", ROUND(MAX(30, MIN(99, IFERROR((AI30-MIN($AI$2:$AI$101))/(MAX($AI$2:$AI$101)-MIN($AI$2:$AI$101))*99,30))),0))</x:f>
      </x:c>
      <x:c r="N30" s="20" t="str">
        <x:f>IF($B30="", "", ROUND(MAX(30, MIN(99, IFERROR((AJ30-MIN($AJ$2:$AJ$101))/(MAX($AJ$2:$AJ$101)-MIN($AJ$2:$AJ$101))*99,30))),0))</x:f>
      </x:c>
      <x:c r="O30" s="20" t="str">
        <x:f>IF($B30="", "", ROUND(MAX(30, MIN(99, IFERROR((AK30-MIN($AK$2:$AK$101))/(MAX($AK$2:$AK$101)-MIN($AK$2:$AK$101))*99,30))),0))</x:f>
      </x:c>
      <x:c r="P30" s="20" t="str">
        <x:f>IF($B30="", "", ROUND(MAX(30, MIN(99, IFERROR((AL30-MIN($AL$2:$AL$101))/(MAX($AL$2:$AL$101)-MIN($AL$2:$AL$101))*99,30))),0))</x:f>
      </x:c>
      <x:c r="Q30" s="20" t="str">
        <x:f>IF($B30="", "", ROUND(MAX(30, MIN(99, IFERROR((AM30-MIN($AM$2:$AM$101))/(MAX($AM$2:$AM$101)-MIN($AM$2:$AM$101))*99,30))),0))</x:f>
      </x:c>
      <x:c r="R30" s="20" t="str">
        <x:f>IF($B30="", "", ROUND(MAX(30, MIN(99, IFERROR((AN30-MIN($AN$2:$AN$101))/(MAX($AN$2:$AN$101)-MIN($AN$2:$AN$101))*99,30))),0))</x:f>
      </x:c>
      <x:c r="S30" s="20" t="str">
        <x:f>IF($B30="", "", ROUND(MAX(30, MIN(99, IFERROR((AO30-MIN($AO$2:$AO$101))/(MAX($AO$2:$AO$101)-MIN($AO$2:$AO$101))*99,30))),0))</x:f>
      </x:c>
      <x:c r="T30" s="20" t="str">
        <x:f>IF($B30="", "", ROUND(MAX(30, MIN(99, IFERROR((AP30-MIN($AP$2:$AP$101))/(MAX($AP$2:$AP$101)-MIN($AP$2:$AP$101))*99,30))),0))</x:f>
      </x:c>
      <x:c r="U30" s="20" t="str">
        <x:f>IF($B30="", "", ROUND(MAX(30, MIN(99, IFERROR((AQ30-MIN($AQ$2:$AQ$101))/(MAX($AQ$2:$AQ$101)-MIN($AQ$2:$AQ$101))*99,30))),0))</x:f>
      </x:c>
      <x:c r="V30" s="20" t="str">
        <x:f>IF($B30="", "", ROUND(MAX(30, MIN(99, IFERROR((AR30-MIN($AR$2:$AR$101))/(MAX($AR$2:$AR$101)-MIN($AR$2:$AR$101))*99,30))),0))</x:f>
      </x:c>
      <x:c r="W30" s="20" t="str">
        <x:f>IF($B30="", "", ROUND(MAX(30, MIN(99, IFERROR((AS30-MIN($AS$2:$AS$101))/(MAX($AS$2:$AS$101)-MIN($AS$2:$AS$101))*99,30))),0))</x:f>
      </x:c>
      <x:c r="X30" s="20" t="str">
        <x:f>IF($B30="", "", ROUND(MAX(30, MIN(99, IFERROR((AT30-MIN($AT$2:$AT$101))/(MAX($AT$2:$AT$101)-MIN($AT$2:$AT$101))*99,30))),0))</x:f>
      </x:c>
      <x:c r="Y30" s="20" t="str">
        <x:f>IF($B30="","",ROUND(AVERAGE(I30:X30),0))</x:f>
      </x:c>
      <x:c r="Z30" s="20" t="str">
        <x:f>IF($B30="","",ROUND(MAX(30,MIN(99,IFS(ISNUMBER(SEARCH("PG",UPPER(SUBSTITUTE($C30,"/","-")))),84,ISNUMBER(SEARCH("SG",UPPER(SUBSTITUTE($C30,"/","-")))),76,ISNUMBER(SEARCH("SF",UPPER(SUBSTITUTE($C30,"/","-")))),68,ISNUMBER(SEARCH("PF",UPPER(SUBSTITUTE($C30,"/","-")))),55,ISNUMBER(SEARCH("C",UPPER(SUBSTITUTE($C30,"/","-")))),42,TRUE,65)+((195-IFERROR($D30,195))*0.15)+((95-IFERROR($E30,95))*0.08))),0))</x:f>
      </x:c>
      <x:c r="AA30" s="20" t="str">
        <x:f>IF($B30="","",ROUND(MAX(30,MIN(99,IFS(ISNUMBER(SEARCH("PG",UPPER(SUBSTITUTE($C30,"/","-")))),84,ISNUMBER(SEARCH("SG",UPPER(SUBSTITUTE($C30,"/","-")))),76,ISNUMBER(SEARCH("SF",UPPER(SUBSTITUTE($C30,"/","-")))),68,ISNUMBER(SEARCH("PF",UPPER(SUBSTITUTE($C30,"/","-")))),55,ISNUMBER(SEARCH("C",UPPER(SUBSTITUTE($C30,"/","-")))),42,TRUE,65)+((195-IFERROR($D30,195))*0.18)+((95-IFERROR($E30,95))*0.10))),0))</x:f>
      </x:c>
      <x:c r="AB30" s="20" t="str">
        <x:f>IF($B30="","",ROUND(MAX(30,MIN(99,IFS(ISNUMBER(SEARCH("PG",UPPER(SUBSTITUTE($C30,"/","-")))),84,ISNUMBER(SEARCH("SG",UPPER(SUBSTITUTE($C30,"/","-")))),76,ISNUMBER(SEARCH("SF",UPPER(SUBSTITUTE($C30,"/","-")))),68,ISNUMBER(SEARCH("PF",UPPER(SUBSTITUTE($C30,"/","-")))),55,ISNUMBER(SEARCH("C",UPPER(SUBSTITUTE($C30,"/","-")))),42,TRUE,65)+2+((195-IFERROR($D30,195))*0.14)+((95-IFERROR($E30,95))*0.09))),0))</x:f>
      </x:c>
      <x:c r="AC30" s="20" t="str">
        <x:f>IF($B30="","",ROUND(MAX(30,MIN(99,IFS(ISNUMBER(SEARCH("C",UPPER(SUBSTITUTE($C30,"/","-")))),92,ISNUMBER(SEARCH("PF",UPPER(SUBSTITUTE($C30,"/","-")))),82,ISNUMBER(SEARCH("SF",UPPER(SUBSTITUTE($C30,"/","-")))),64,ISNUMBER(SEARCH("SG",UPPER(SUBSTITUTE($C30,"/","-")))),48,ISNUMBER(SEARCH("PG",UPPER(SUBSTITUTE($C30,"/","-")))),36,TRUE,60)+((IFERROR($E30,95)-95)*0.45)+((IFERROR($D30,195)-195)*0.10)+((IFERROR($F30,200)-200)*0.08))),0))</x:f>
      </x:c>
      <x:c r="AD30" s="20" t="str">
        <x:f>IF($B30="","",ROUND(MAX(30,MIN(99,65+((IFERROR($F30,200)-200)*0.22)+((IFERROR($D30,195)-195)*0.08)-((IFERROR($E30,95)-95)*0.07))),0))</x:f>
      </x:c>
      <x:c r="AE30" s="15" t="n">
        <x:f>IFERROR(='입력데이터'!S30,0)*0.4+IFERROR(='입력데이터'!AP30,0)*0.4+IFERROR(='입력데이터'!AO30,0)*0.5</x:f>
        <x:v>0</x:v>
      </x:c>
      <x:c r="AF30" s="15" t="n">
        <x:f>IFERROR(='입력데이터'!S30,0)*0.5+IFERROR(='입력데이터'!P30,0)*0.8+IFERROR(='입력데이터'!AG30,0)</x:f>
        <x:v>0</x:v>
      </x:c>
      <x:c r="AG30" s="15" t="n">
        <x:f>IFERROR(='입력데이터'!AJ30,0)*8+IFERROR(IFERROR(='입력데이터'!AJ30,0)/IFERROR(='입력데이터'!AK30,0),0)*30</x:f>
        <x:v>0</x:v>
      </x:c>
      <x:c r="AH30" s="15" t="n">
        <x:f>IFERROR(='입력데이터'!AJ30,0)*6+IFERROR(='입력데이터'!AH30,0)*4</x:f>
        <x:v>0</x:v>
      </x:c>
      <x:c r="AI30" s="15" t="n">
        <x:f>IFERROR(='입력데이터'!AP30,0)*0.4+IFERROR(='입력데이터'!AE30,0)*1.5+IFERROR(='입력데이터'!Q30,0)*1.5</x:f>
        <x:v>0</x:v>
      </x:c>
      <x:c r="AJ30" s="15" t="n">
        <x:f>MAX(0,IFERROR(='입력데이터'!P30,0)-IFERROR(='입력데이터'!Q30,0)*2-IFERROR(='입력데이터'!T30,0)*3-IFERROR(='입력데이터'!Z30,0))*1.5+IFERROR(='입력데이터'!Y30,0)*0.3</x:f>
        <x:v>0</x:v>
      </x:c>
      <x:c r="AK30" s="15" t="n">
        <x:f>IFERROR(='입력데이터'!V30,0)*0.6+IFERROR(='입력데이터'!U30,0)*2+IFERROR(='입력데이터'!T30,0)*3</x:f>
        <x:v>0</x:v>
      </x:c>
      <x:c r="AL30" s="15" t="n">
        <x:f>IFERROR(='입력데이터'!AB30,0)*0.7+IFERROR(='입력데이터'!AA30,0)*1.5</x:f>
        <x:v>0</x:v>
      </x:c>
      <x:c r="AM30" s="15" t="n">
        <x:f>IFERROR(='입력데이터'!AF30,0)*5+IFERROR(IFERROR(='입력데이터'!AF30,0)/IFERROR(='입력데이터'!AL30,0),0)*3+IFERROR(='입력데이터'!AT30,0)</x:f>
        <x:v>0</x:v>
      </x:c>
      <x:c r="AN30" s="15" t="n">
        <x:f>IFERROR(='입력데이터'!AF30,0)*3+IFERROR(='입력데이터'!AG30,0)*3+IFERROR(IFERROR(='입력데이터'!AF30,0)/IFERROR(='입력데이터'!AL30,0),0)*4</x:f>
        <x:v>0</x:v>
      </x:c>
      <x:c r="AO30" s="15" t="n">
        <x:f>IFERROR(='입력데이터'!AG30,0)*12+IFERROR(='입력데이터'!AU30,0)*6</x:f>
        <x:v>0</x:v>
      </x:c>
      <x:c r="AP30" s="15" t="n">
        <x:f>IFERROR(='입력데이터'!AH30,0)*14+IFERROR(='입력데이터'!AD30,0)</x:f>
        <x:v>0</x:v>
      </x:c>
      <x:c r="AQ30" s="15" t="n">
        <x:f>IFERROR(='입력데이터'!AC30,0)*10</x:f>
        <x:v>0</x:v>
      </x:c>
      <x:c r="AR30" s="15" t="n">
        <x:f>IFERROR(='입력데이터'!AD30,0)*7+IFERROR(='입력데이터'!AH30,0)*2</x:f>
        <x:v>0</x:v>
      </x:c>
      <x:c r="AS30" s="15" t="n">
        <x:f>IFERROR(='입력데이터'!AH30,0)*8+IFERROR(='입력데이터'!AD30,0)*2+IFERROR(='입력데이터'!AI30,0)*4</x:f>
        <x:v>0</x:v>
      </x:c>
      <x:c r="AT30" s="16" t="n">
        <x:f>IFERROR(='입력데이터'!AG30,0)*8+IFERROR(='입력데이터'!AI30,0)*5+IFERROR(='입력데이터'!AU30,0)*4</x:f>
        <x:v>0</x:v>
      </x:c>
    </x:row>
    <x:row r="31">
      <x:c r="A31" s="14" t="str">
        <x:f>IF('입력데이터'!$B31="","",'입력데이터'!A31)</x:f>
      </x:c>
      <x:c r="B31" s="15" t="str">
        <x:f>IF('입력데이터'!$B31="","",'입력데이터'!B31)</x:f>
      </x:c>
      <x:c r="C31" s="15" t="str">
        <x:f>IF('입력데이터'!$B31="","",'입력데이터'!K31)</x:f>
      </x:c>
      <x:c r="D31" s="15" t="str">
        <x:f>IF('입력데이터'!$B31="","",'입력데이터'!H31)</x:f>
      </x:c>
      <x:c r="E31" s="15" t="str">
        <x:f>IF('입력데이터'!$B31="","",'입력데이터'!I31)</x:f>
      </x:c>
      <x:c r="F31" s="15" t="str">
        <x:f>IF('입력데이터'!$B31="","",'입력데이터'!J31)</x:f>
      </x:c>
      <x:c r="G31" s="15" t="str">
        <x:f>IF('입력데이터'!$B31="","",'입력데이터'!L31)</x:f>
      </x:c>
      <x:c r="H31" s="15" t="str">
        <x:f>IF('입력데이터'!$B31="","",'입력데이터'!O31)</x:f>
      </x:c>
      <x:c r="I31" s="20" t="str">
        <x:f>IF($B31="", "", ROUND(MAX(30, MIN(99, IFERROR((AE31-MIN($AE$2:$AE$101))/(MAX($AE$2:$AE$101)-MIN($AE$2:$AE$101))*99,30))),0))</x:f>
      </x:c>
      <x:c r="J31" s="20" t="str">
        <x:f>IF($B31="", "", ROUND(MAX(30, MIN(99, IFERROR((AF31-MIN($AF$2:$AF$101))/(MAX($AF$2:$AF$101)-MIN($AF$2:$AF$101))*99,30))),0))</x:f>
      </x:c>
      <x:c r="K31" s="20" t="str">
        <x:f>IF($B31="", "", ROUND(MAX(30, MIN(99, IFERROR((AG31-MIN($AG$2:$AG$101))/(MAX($AG$2:$AG$101)-MIN($AG$2:$AG$101))*99,30))),0))</x:f>
      </x:c>
      <x:c r="L31" s="20" t="str">
        <x:f>IF($B31="", "", ROUND(MAX(30, MIN(99, IFERROR((AH31-MIN($AH$2:$AH$101))/(MAX($AH$2:$AH$101)-MIN($AH$2:$AH$101))*99,30))),0))</x:f>
      </x:c>
      <x:c r="M31" s="20" t="str">
        <x:f>IF($B31="", "", ROUND(MAX(30, MIN(99, IFERROR((AI31-MIN($AI$2:$AI$101))/(MAX($AI$2:$AI$101)-MIN($AI$2:$AI$101))*99,30))),0))</x:f>
      </x:c>
      <x:c r="N31" s="20" t="str">
        <x:f>IF($B31="", "", ROUND(MAX(30, MIN(99, IFERROR((AJ31-MIN($AJ$2:$AJ$101))/(MAX($AJ$2:$AJ$101)-MIN($AJ$2:$AJ$101))*99,30))),0))</x:f>
      </x:c>
      <x:c r="O31" s="20" t="str">
        <x:f>IF($B31="", "", ROUND(MAX(30, MIN(99, IFERROR((AK31-MIN($AK$2:$AK$101))/(MAX($AK$2:$AK$101)-MIN($AK$2:$AK$101))*99,30))),0))</x:f>
      </x:c>
      <x:c r="P31" s="20" t="str">
        <x:f>IF($B31="", "", ROUND(MAX(30, MIN(99, IFERROR((AL31-MIN($AL$2:$AL$101))/(MAX($AL$2:$AL$101)-MIN($AL$2:$AL$101))*99,30))),0))</x:f>
      </x:c>
      <x:c r="Q31" s="20" t="str">
        <x:f>IF($B31="", "", ROUND(MAX(30, MIN(99, IFERROR((AM31-MIN($AM$2:$AM$101))/(MAX($AM$2:$AM$101)-MIN($AM$2:$AM$101))*99,30))),0))</x:f>
      </x:c>
      <x:c r="R31" s="20" t="str">
        <x:f>IF($B31="", "", ROUND(MAX(30, MIN(99, IFERROR((AN31-MIN($AN$2:$AN$101))/(MAX($AN$2:$AN$101)-MIN($AN$2:$AN$101))*99,30))),0))</x:f>
      </x:c>
      <x:c r="S31" s="20" t="str">
        <x:f>IF($B31="", "", ROUND(MAX(30, MIN(99, IFERROR((AO31-MIN($AO$2:$AO$101))/(MAX($AO$2:$AO$101)-MIN($AO$2:$AO$101))*99,30))),0))</x:f>
      </x:c>
      <x:c r="T31" s="20" t="str">
        <x:f>IF($B31="", "", ROUND(MAX(30, MIN(99, IFERROR((AP31-MIN($AP$2:$AP$101))/(MAX($AP$2:$AP$101)-MIN($AP$2:$AP$101))*99,30))),0))</x:f>
      </x:c>
      <x:c r="U31" s="20" t="str">
        <x:f>IF($B31="", "", ROUND(MAX(30, MIN(99, IFERROR((AQ31-MIN($AQ$2:$AQ$101))/(MAX($AQ$2:$AQ$101)-MIN($AQ$2:$AQ$101))*99,30))),0))</x:f>
      </x:c>
      <x:c r="V31" s="20" t="str">
        <x:f>IF($B31="", "", ROUND(MAX(30, MIN(99, IFERROR((AR31-MIN($AR$2:$AR$101))/(MAX($AR$2:$AR$101)-MIN($AR$2:$AR$101))*99,30))),0))</x:f>
      </x:c>
      <x:c r="W31" s="20" t="str">
        <x:f>IF($B31="", "", ROUND(MAX(30, MIN(99, IFERROR((AS31-MIN($AS$2:$AS$101))/(MAX($AS$2:$AS$101)-MIN($AS$2:$AS$101))*99,30))),0))</x:f>
      </x:c>
      <x:c r="X31" s="20" t="str">
        <x:f>IF($B31="", "", ROUND(MAX(30, MIN(99, IFERROR((AT31-MIN($AT$2:$AT$101))/(MAX($AT$2:$AT$101)-MIN($AT$2:$AT$101))*99,30))),0))</x:f>
      </x:c>
      <x:c r="Y31" s="20" t="str">
        <x:f>IF($B31="","",ROUND(AVERAGE(I31:X31),0))</x:f>
      </x:c>
      <x:c r="Z31" s="20" t="str">
        <x:f>IF($B31="","",ROUND(MAX(30,MIN(99,IFS(ISNUMBER(SEARCH("PG",UPPER(SUBSTITUTE($C31,"/","-")))),84,ISNUMBER(SEARCH("SG",UPPER(SUBSTITUTE($C31,"/","-")))),76,ISNUMBER(SEARCH("SF",UPPER(SUBSTITUTE($C31,"/","-")))),68,ISNUMBER(SEARCH("PF",UPPER(SUBSTITUTE($C31,"/","-")))),55,ISNUMBER(SEARCH("C",UPPER(SUBSTITUTE($C31,"/","-")))),42,TRUE,65)+((195-IFERROR($D31,195))*0.15)+((95-IFERROR($E31,95))*0.08))),0))</x:f>
      </x:c>
      <x:c r="AA31" s="20" t="str">
        <x:f>IF($B31="","",ROUND(MAX(30,MIN(99,IFS(ISNUMBER(SEARCH("PG",UPPER(SUBSTITUTE($C31,"/","-")))),84,ISNUMBER(SEARCH("SG",UPPER(SUBSTITUTE($C31,"/","-")))),76,ISNUMBER(SEARCH("SF",UPPER(SUBSTITUTE($C31,"/","-")))),68,ISNUMBER(SEARCH("PF",UPPER(SUBSTITUTE($C31,"/","-")))),55,ISNUMBER(SEARCH("C",UPPER(SUBSTITUTE($C31,"/","-")))),42,TRUE,65)+((195-IFERROR($D31,195))*0.18)+((95-IFERROR($E31,95))*0.10))),0))</x:f>
      </x:c>
      <x:c r="AB31" s="20" t="str">
        <x:f>IF($B31="","",ROUND(MAX(30,MIN(99,IFS(ISNUMBER(SEARCH("PG",UPPER(SUBSTITUTE($C31,"/","-")))),84,ISNUMBER(SEARCH("SG",UPPER(SUBSTITUTE($C31,"/","-")))),76,ISNUMBER(SEARCH("SF",UPPER(SUBSTITUTE($C31,"/","-")))),68,ISNUMBER(SEARCH("PF",UPPER(SUBSTITUTE($C31,"/","-")))),55,ISNUMBER(SEARCH("C",UPPER(SUBSTITUTE($C31,"/","-")))),42,TRUE,65)+2+((195-IFERROR($D31,195))*0.14)+((95-IFERROR($E31,95))*0.09))),0))</x:f>
      </x:c>
      <x:c r="AC31" s="20" t="str">
        <x:f>IF($B31="","",ROUND(MAX(30,MIN(99,IFS(ISNUMBER(SEARCH("C",UPPER(SUBSTITUTE($C31,"/","-")))),92,ISNUMBER(SEARCH("PF",UPPER(SUBSTITUTE($C31,"/","-")))),82,ISNUMBER(SEARCH("SF",UPPER(SUBSTITUTE($C31,"/","-")))),64,ISNUMBER(SEARCH("SG",UPPER(SUBSTITUTE($C31,"/","-")))),48,ISNUMBER(SEARCH("PG",UPPER(SUBSTITUTE($C31,"/","-")))),36,TRUE,60)+((IFERROR($E31,95)-95)*0.45)+((IFERROR($D31,195)-195)*0.10)+((IFERROR($F31,200)-200)*0.08))),0))</x:f>
      </x:c>
      <x:c r="AD31" s="20" t="str">
        <x:f>IF($B31="","",ROUND(MAX(30,MIN(99,65+((IFERROR($F31,200)-200)*0.22)+((IFERROR($D31,195)-195)*0.08)-((IFERROR($E31,95)-95)*0.07))),0))</x:f>
      </x:c>
      <x:c r="AE31" s="15" t="n">
        <x:f>IFERROR(='입력데이터'!S31,0)*0.4+IFERROR(='입력데이터'!AP31,0)*0.4+IFERROR(='입력데이터'!AO31,0)*0.5</x:f>
        <x:v>0</x:v>
      </x:c>
      <x:c r="AF31" s="15" t="n">
        <x:f>IFERROR(='입력데이터'!S31,0)*0.5+IFERROR(='입력데이터'!P31,0)*0.8+IFERROR(='입력데이터'!AG31,0)</x:f>
        <x:v>0</x:v>
      </x:c>
      <x:c r="AG31" s="15" t="n">
        <x:f>IFERROR(='입력데이터'!AJ31,0)*8+IFERROR(IFERROR(='입력데이터'!AJ31,0)/IFERROR(='입력데이터'!AK31,0),0)*30</x:f>
        <x:v>0</x:v>
      </x:c>
      <x:c r="AH31" s="15" t="n">
        <x:f>IFERROR(='입력데이터'!AJ31,0)*6+IFERROR(='입력데이터'!AH31,0)*4</x:f>
        <x:v>0</x:v>
      </x:c>
      <x:c r="AI31" s="15" t="n">
        <x:f>IFERROR(='입력데이터'!AP31,0)*0.4+IFERROR(='입력데이터'!AE31,0)*1.5+IFERROR(='입력데이터'!Q31,0)*1.5</x:f>
        <x:v>0</x:v>
      </x:c>
      <x:c r="AJ31" s="15" t="n">
        <x:f>MAX(0,IFERROR(='입력데이터'!P31,0)-IFERROR(='입력데이터'!Q31,0)*2-IFERROR(='입력데이터'!T31,0)*3-IFERROR(='입력데이터'!Z31,0))*1.5+IFERROR(='입력데이터'!Y31,0)*0.3</x:f>
        <x:v>0</x:v>
      </x:c>
      <x:c r="AK31" s="15" t="n">
        <x:f>IFERROR(='입력데이터'!V31,0)*0.6+IFERROR(='입력데이터'!U31,0)*2+IFERROR(='입력데이터'!T31,0)*3</x:f>
        <x:v>0</x:v>
      </x:c>
      <x:c r="AL31" s="15" t="n">
        <x:f>IFERROR(='입력데이터'!AB31,0)*0.7+IFERROR(='입력데이터'!AA31,0)*1.5</x:f>
        <x:v>0</x:v>
      </x:c>
      <x:c r="AM31" s="15" t="n">
        <x:f>IFERROR(='입력데이터'!AF31,0)*5+IFERROR(IFERROR(='입력데이터'!AF31,0)/IFERROR(='입력데이터'!AL31,0),0)*3+IFERROR(='입력데이터'!AT31,0)</x:f>
        <x:v>0</x:v>
      </x:c>
      <x:c r="AN31" s="15" t="n">
        <x:f>IFERROR(='입력데이터'!AF31,0)*3+IFERROR(='입력데이터'!AG31,0)*3+IFERROR(IFERROR(='입력데이터'!AF31,0)/IFERROR(='입력데이터'!AL31,0),0)*4</x:f>
        <x:v>0</x:v>
      </x:c>
      <x:c r="AO31" s="15" t="n">
        <x:f>IFERROR(='입력데이터'!AG31,0)*12+IFERROR(='입력데이터'!AU31,0)*6</x:f>
        <x:v>0</x:v>
      </x:c>
      <x:c r="AP31" s="15" t="n">
        <x:f>IFERROR(='입력데이터'!AH31,0)*14+IFERROR(='입력데이터'!AD31,0)</x:f>
        <x:v>0</x:v>
      </x:c>
      <x:c r="AQ31" s="15" t="n">
        <x:f>IFERROR(='입력데이터'!AC31,0)*10</x:f>
        <x:v>0</x:v>
      </x:c>
      <x:c r="AR31" s="15" t="n">
        <x:f>IFERROR(='입력데이터'!AD31,0)*7+IFERROR(='입력데이터'!AH31,0)*2</x:f>
        <x:v>0</x:v>
      </x:c>
      <x:c r="AS31" s="15" t="n">
        <x:f>IFERROR(='입력데이터'!AH31,0)*8+IFERROR(='입력데이터'!AD31,0)*2+IFERROR(='입력데이터'!AI31,0)*4</x:f>
        <x:v>0</x:v>
      </x:c>
      <x:c r="AT31" s="16" t="n">
        <x:f>IFERROR(='입력데이터'!AG31,0)*8+IFERROR(='입력데이터'!AI31,0)*5+IFERROR(='입력데이터'!AU31,0)*4</x:f>
        <x:v>0</x:v>
      </x:c>
    </x:row>
    <x:row r="32">
      <x:c r="A32" s="14" t="str">
        <x:f>IF('입력데이터'!$B32="","",'입력데이터'!A32)</x:f>
      </x:c>
      <x:c r="B32" s="15" t="str">
        <x:f>IF('입력데이터'!$B32="","",'입력데이터'!B32)</x:f>
      </x:c>
      <x:c r="C32" s="15" t="str">
        <x:f>IF('입력데이터'!$B32="","",'입력데이터'!K32)</x:f>
      </x:c>
      <x:c r="D32" s="15" t="str">
        <x:f>IF('입력데이터'!$B32="","",'입력데이터'!H32)</x:f>
      </x:c>
      <x:c r="E32" s="15" t="str">
        <x:f>IF('입력데이터'!$B32="","",'입력데이터'!I32)</x:f>
      </x:c>
      <x:c r="F32" s="15" t="str">
        <x:f>IF('입력데이터'!$B32="","",'입력데이터'!J32)</x:f>
      </x:c>
      <x:c r="G32" s="15" t="str">
        <x:f>IF('입력데이터'!$B32="","",'입력데이터'!L32)</x:f>
      </x:c>
      <x:c r="H32" s="15" t="str">
        <x:f>IF('입력데이터'!$B32="","",'입력데이터'!O32)</x:f>
      </x:c>
      <x:c r="I32" s="20" t="str">
        <x:f>IF($B32="", "", ROUND(MAX(30, MIN(99, IFERROR((AE32-MIN($AE$2:$AE$101))/(MAX($AE$2:$AE$101)-MIN($AE$2:$AE$101))*99,30))),0))</x:f>
      </x:c>
      <x:c r="J32" s="20" t="str">
        <x:f>IF($B32="", "", ROUND(MAX(30, MIN(99, IFERROR((AF32-MIN($AF$2:$AF$101))/(MAX($AF$2:$AF$101)-MIN($AF$2:$AF$101))*99,30))),0))</x:f>
      </x:c>
      <x:c r="K32" s="20" t="str">
        <x:f>IF($B32="", "", ROUND(MAX(30, MIN(99, IFERROR((AG32-MIN($AG$2:$AG$101))/(MAX($AG$2:$AG$101)-MIN($AG$2:$AG$101))*99,30))),0))</x:f>
      </x:c>
      <x:c r="L32" s="20" t="str">
        <x:f>IF($B32="", "", ROUND(MAX(30, MIN(99, IFERROR((AH32-MIN($AH$2:$AH$101))/(MAX($AH$2:$AH$101)-MIN($AH$2:$AH$101))*99,30))),0))</x:f>
      </x:c>
      <x:c r="M32" s="20" t="str">
        <x:f>IF($B32="", "", ROUND(MAX(30, MIN(99, IFERROR((AI32-MIN($AI$2:$AI$101))/(MAX($AI$2:$AI$101)-MIN($AI$2:$AI$101))*99,30))),0))</x:f>
      </x:c>
      <x:c r="N32" s="20" t="str">
        <x:f>IF($B32="", "", ROUND(MAX(30, MIN(99, IFERROR((AJ32-MIN($AJ$2:$AJ$101))/(MAX($AJ$2:$AJ$101)-MIN($AJ$2:$AJ$101))*99,30))),0))</x:f>
      </x:c>
      <x:c r="O32" s="20" t="str">
        <x:f>IF($B32="", "", ROUND(MAX(30, MIN(99, IFERROR((AK32-MIN($AK$2:$AK$101))/(MAX($AK$2:$AK$101)-MIN($AK$2:$AK$101))*99,30))),0))</x:f>
      </x:c>
      <x:c r="P32" s="20" t="str">
        <x:f>IF($B32="", "", ROUND(MAX(30, MIN(99, IFERROR((AL32-MIN($AL$2:$AL$101))/(MAX($AL$2:$AL$101)-MIN($AL$2:$AL$101))*99,30))),0))</x:f>
      </x:c>
      <x:c r="Q32" s="20" t="str">
        <x:f>IF($B32="", "", ROUND(MAX(30, MIN(99, IFERROR((AM32-MIN($AM$2:$AM$101))/(MAX($AM$2:$AM$101)-MIN($AM$2:$AM$101))*99,30))),0))</x:f>
      </x:c>
      <x:c r="R32" s="20" t="str">
        <x:f>IF($B32="", "", ROUND(MAX(30, MIN(99, IFERROR((AN32-MIN($AN$2:$AN$101))/(MAX($AN$2:$AN$101)-MIN($AN$2:$AN$101))*99,30))),0))</x:f>
      </x:c>
      <x:c r="S32" s="20" t="str">
        <x:f>IF($B32="", "", ROUND(MAX(30, MIN(99, IFERROR((AO32-MIN($AO$2:$AO$101))/(MAX($AO$2:$AO$101)-MIN($AO$2:$AO$101))*99,30))),0))</x:f>
      </x:c>
      <x:c r="T32" s="20" t="str">
        <x:f>IF($B32="", "", ROUND(MAX(30, MIN(99, IFERROR((AP32-MIN($AP$2:$AP$101))/(MAX($AP$2:$AP$101)-MIN($AP$2:$AP$101))*99,30))),0))</x:f>
      </x:c>
      <x:c r="U32" s="20" t="str">
        <x:f>IF($B32="", "", ROUND(MAX(30, MIN(99, IFERROR((AQ32-MIN($AQ$2:$AQ$101))/(MAX($AQ$2:$AQ$101)-MIN($AQ$2:$AQ$101))*99,30))),0))</x:f>
      </x:c>
      <x:c r="V32" s="20" t="str">
        <x:f>IF($B32="", "", ROUND(MAX(30, MIN(99, IFERROR((AR32-MIN($AR$2:$AR$101))/(MAX($AR$2:$AR$101)-MIN($AR$2:$AR$101))*99,30))),0))</x:f>
      </x:c>
      <x:c r="W32" s="20" t="str">
        <x:f>IF($B32="", "", ROUND(MAX(30, MIN(99, IFERROR((AS32-MIN($AS$2:$AS$101))/(MAX($AS$2:$AS$101)-MIN($AS$2:$AS$101))*99,30))),0))</x:f>
      </x:c>
      <x:c r="X32" s="20" t="str">
        <x:f>IF($B32="", "", ROUND(MAX(30, MIN(99, IFERROR((AT32-MIN($AT$2:$AT$101))/(MAX($AT$2:$AT$101)-MIN($AT$2:$AT$101))*99,30))),0))</x:f>
      </x:c>
      <x:c r="Y32" s="20" t="str">
        <x:f>IF($B32="","",ROUND(AVERAGE(I32:X32),0))</x:f>
      </x:c>
      <x:c r="Z32" s="20" t="str">
        <x:f>IF($B32="","",ROUND(MAX(30,MIN(99,IFS(ISNUMBER(SEARCH("PG",UPPER(SUBSTITUTE($C32,"/","-")))),84,ISNUMBER(SEARCH("SG",UPPER(SUBSTITUTE($C32,"/","-")))),76,ISNUMBER(SEARCH("SF",UPPER(SUBSTITUTE($C32,"/","-")))),68,ISNUMBER(SEARCH("PF",UPPER(SUBSTITUTE($C32,"/","-")))),55,ISNUMBER(SEARCH("C",UPPER(SUBSTITUTE($C32,"/","-")))),42,TRUE,65)+((195-IFERROR($D32,195))*0.15)+((95-IFERROR($E32,95))*0.08))),0))</x:f>
      </x:c>
      <x:c r="AA32" s="20" t="str">
        <x:f>IF($B32="","",ROUND(MAX(30,MIN(99,IFS(ISNUMBER(SEARCH("PG",UPPER(SUBSTITUTE($C32,"/","-")))),84,ISNUMBER(SEARCH("SG",UPPER(SUBSTITUTE($C32,"/","-")))),76,ISNUMBER(SEARCH("SF",UPPER(SUBSTITUTE($C32,"/","-")))),68,ISNUMBER(SEARCH("PF",UPPER(SUBSTITUTE($C32,"/","-")))),55,ISNUMBER(SEARCH("C",UPPER(SUBSTITUTE($C32,"/","-")))),42,TRUE,65)+((195-IFERROR($D32,195))*0.18)+((95-IFERROR($E32,95))*0.10))),0))</x:f>
      </x:c>
      <x:c r="AB32" s="20" t="str">
        <x:f>IF($B32="","",ROUND(MAX(30,MIN(99,IFS(ISNUMBER(SEARCH("PG",UPPER(SUBSTITUTE($C32,"/","-")))),84,ISNUMBER(SEARCH("SG",UPPER(SUBSTITUTE($C32,"/","-")))),76,ISNUMBER(SEARCH("SF",UPPER(SUBSTITUTE($C32,"/","-")))),68,ISNUMBER(SEARCH("PF",UPPER(SUBSTITUTE($C32,"/","-")))),55,ISNUMBER(SEARCH("C",UPPER(SUBSTITUTE($C32,"/","-")))),42,TRUE,65)+2+((195-IFERROR($D32,195))*0.14)+((95-IFERROR($E32,95))*0.09))),0))</x:f>
      </x:c>
      <x:c r="AC32" s="20" t="str">
        <x:f>IF($B32="","",ROUND(MAX(30,MIN(99,IFS(ISNUMBER(SEARCH("C",UPPER(SUBSTITUTE($C32,"/","-")))),92,ISNUMBER(SEARCH("PF",UPPER(SUBSTITUTE($C32,"/","-")))),82,ISNUMBER(SEARCH("SF",UPPER(SUBSTITUTE($C32,"/","-")))),64,ISNUMBER(SEARCH("SG",UPPER(SUBSTITUTE($C32,"/","-")))),48,ISNUMBER(SEARCH("PG",UPPER(SUBSTITUTE($C32,"/","-")))),36,TRUE,60)+((IFERROR($E32,95)-95)*0.45)+((IFERROR($D32,195)-195)*0.10)+((IFERROR($F32,200)-200)*0.08))),0))</x:f>
      </x:c>
      <x:c r="AD32" s="20" t="str">
        <x:f>IF($B32="","",ROUND(MAX(30,MIN(99,65+((IFERROR($F32,200)-200)*0.22)+((IFERROR($D32,195)-195)*0.08)-((IFERROR($E32,95)-95)*0.07))),0))</x:f>
      </x:c>
      <x:c r="AE32" s="15" t="n">
        <x:f>IFERROR(='입력데이터'!S32,0)*0.4+IFERROR(='입력데이터'!AP32,0)*0.4+IFERROR(='입력데이터'!AO32,0)*0.5</x:f>
        <x:v>0</x:v>
      </x:c>
      <x:c r="AF32" s="15" t="n">
        <x:f>IFERROR(='입력데이터'!S32,0)*0.5+IFERROR(='입력데이터'!P32,0)*0.8+IFERROR(='입력데이터'!AG32,0)</x:f>
        <x:v>0</x:v>
      </x:c>
      <x:c r="AG32" s="15" t="n">
        <x:f>IFERROR(='입력데이터'!AJ32,0)*8+IFERROR(IFERROR(='입력데이터'!AJ32,0)/IFERROR(='입력데이터'!AK32,0),0)*30</x:f>
        <x:v>0</x:v>
      </x:c>
      <x:c r="AH32" s="15" t="n">
        <x:f>IFERROR(='입력데이터'!AJ32,0)*6+IFERROR(='입력데이터'!AH32,0)*4</x:f>
        <x:v>0</x:v>
      </x:c>
      <x:c r="AI32" s="15" t="n">
        <x:f>IFERROR(='입력데이터'!AP32,0)*0.4+IFERROR(='입력데이터'!AE32,0)*1.5+IFERROR(='입력데이터'!Q32,0)*1.5</x:f>
        <x:v>0</x:v>
      </x:c>
      <x:c r="AJ32" s="15" t="n">
        <x:f>MAX(0,IFERROR(='입력데이터'!P32,0)-IFERROR(='입력데이터'!Q32,0)*2-IFERROR(='입력데이터'!T32,0)*3-IFERROR(='입력데이터'!Z32,0))*1.5+IFERROR(='입력데이터'!Y32,0)*0.3</x:f>
        <x:v>0</x:v>
      </x:c>
      <x:c r="AK32" s="15" t="n">
        <x:f>IFERROR(='입력데이터'!V32,0)*0.6+IFERROR(='입력데이터'!U32,0)*2+IFERROR(='입력데이터'!T32,0)*3</x:f>
        <x:v>0</x:v>
      </x:c>
      <x:c r="AL32" s="15" t="n">
        <x:f>IFERROR(='입력데이터'!AB32,0)*0.7+IFERROR(='입력데이터'!AA32,0)*1.5</x:f>
        <x:v>0</x:v>
      </x:c>
      <x:c r="AM32" s="15" t="n">
        <x:f>IFERROR(='입력데이터'!AF32,0)*5+IFERROR(IFERROR(='입력데이터'!AF32,0)/IFERROR(='입력데이터'!AL32,0),0)*3+IFERROR(='입력데이터'!AT32,0)</x:f>
        <x:v>0</x:v>
      </x:c>
      <x:c r="AN32" s="15" t="n">
        <x:f>IFERROR(='입력데이터'!AF32,0)*3+IFERROR(='입력데이터'!AG32,0)*3+IFERROR(IFERROR(='입력데이터'!AF32,0)/IFERROR(='입력데이터'!AL32,0),0)*4</x:f>
        <x:v>0</x:v>
      </x:c>
      <x:c r="AO32" s="15" t="n">
        <x:f>IFERROR(='입력데이터'!AG32,0)*12+IFERROR(='입력데이터'!AU32,0)*6</x:f>
        <x:v>0</x:v>
      </x:c>
      <x:c r="AP32" s="15" t="n">
        <x:f>IFERROR(='입력데이터'!AH32,0)*14+IFERROR(='입력데이터'!AD32,0)</x:f>
        <x:v>0</x:v>
      </x:c>
      <x:c r="AQ32" s="15" t="n">
        <x:f>IFERROR(='입력데이터'!AC32,0)*10</x:f>
        <x:v>0</x:v>
      </x:c>
      <x:c r="AR32" s="15" t="n">
        <x:f>IFERROR(='입력데이터'!AD32,0)*7+IFERROR(='입력데이터'!AH32,0)*2</x:f>
        <x:v>0</x:v>
      </x:c>
      <x:c r="AS32" s="15" t="n">
        <x:f>IFERROR(='입력데이터'!AH32,0)*8+IFERROR(='입력데이터'!AD32,0)*2+IFERROR(='입력데이터'!AI32,0)*4</x:f>
        <x:v>0</x:v>
      </x:c>
      <x:c r="AT32" s="16" t="n">
        <x:f>IFERROR(='입력데이터'!AG32,0)*8+IFERROR(='입력데이터'!AI32,0)*5+IFERROR(='입력데이터'!AU32,0)*4</x:f>
        <x:v>0</x:v>
      </x:c>
    </x:row>
    <x:row r="33">
      <x:c r="A33" s="14" t="str">
        <x:f>IF('입력데이터'!$B33="","",'입력데이터'!A33)</x:f>
      </x:c>
      <x:c r="B33" s="15" t="str">
        <x:f>IF('입력데이터'!$B33="","",'입력데이터'!B33)</x:f>
      </x:c>
      <x:c r="C33" s="15" t="str">
        <x:f>IF('입력데이터'!$B33="","",'입력데이터'!K33)</x:f>
      </x:c>
      <x:c r="D33" s="15" t="str">
        <x:f>IF('입력데이터'!$B33="","",'입력데이터'!H33)</x:f>
      </x:c>
      <x:c r="E33" s="15" t="str">
        <x:f>IF('입력데이터'!$B33="","",'입력데이터'!I33)</x:f>
      </x:c>
      <x:c r="F33" s="15" t="str">
        <x:f>IF('입력데이터'!$B33="","",'입력데이터'!J33)</x:f>
      </x:c>
      <x:c r="G33" s="15" t="str">
        <x:f>IF('입력데이터'!$B33="","",'입력데이터'!L33)</x:f>
      </x:c>
      <x:c r="H33" s="15" t="str">
        <x:f>IF('입력데이터'!$B33="","",'입력데이터'!O33)</x:f>
      </x:c>
      <x:c r="I33" s="20" t="str">
        <x:f>IF($B33="", "", ROUND(MAX(30, MIN(99, IFERROR((AE33-MIN($AE$2:$AE$101))/(MAX($AE$2:$AE$101)-MIN($AE$2:$AE$101))*99,30))),0))</x:f>
      </x:c>
      <x:c r="J33" s="20" t="str">
        <x:f>IF($B33="", "", ROUND(MAX(30, MIN(99, IFERROR((AF33-MIN($AF$2:$AF$101))/(MAX($AF$2:$AF$101)-MIN($AF$2:$AF$101))*99,30))),0))</x:f>
      </x:c>
      <x:c r="K33" s="20" t="str">
        <x:f>IF($B33="", "", ROUND(MAX(30, MIN(99, IFERROR((AG33-MIN($AG$2:$AG$101))/(MAX($AG$2:$AG$101)-MIN($AG$2:$AG$101))*99,30))),0))</x:f>
      </x:c>
      <x:c r="L33" s="20" t="str">
        <x:f>IF($B33="", "", ROUND(MAX(30, MIN(99, IFERROR((AH33-MIN($AH$2:$AH$101))/(MAX($AH$2:$AH$101)-MIN($AH$2:$AH$101))*99,30))),0))</x:f>
      </x:c>
      <x:c r="M33" s="20" t="str">
        <x:f>IF($B33="", "", ROUND(MAX(30, MIN(99, IFERROR((AI33-MIN($AI$2:$AI$101))/(MAX($AI$2:$AI$101)-MIN($AI$2:$AI$101))*99,30))),0))</x:f>
      </x:c>
      <x:c r="N33" s="20" t="str">
        <x:f>IF($B33="", "", ROUND(MAX(30, MIN(99, IFERROR((AJ33-MIN($AJ$2:$AJ$101))/(MAX($AJ$2:$AJ$101)-MIN($AJ$2:$AJ$101))*99,30))),0))</x:f>
      </x:c>
      <x:c r="O33" s="20" t="str">
        <x:f>IF($B33="", "", ROUND(MAX(30, MIN(99, IFERROR((AK33-MIN($AK$2:$AK$101))/(MAX($AK$2:$AK$101)-MIN($AK$2:$AK$101))*99,30))),0))</x:f>
      </x:c>
      <x:c r="P33" s="20" t="str">
        <x:f>IF($B33="", "", ROUND(MAX(30, MIN(99, IFERROR((AL33-MIN($AL$2:$AL$101))/(MAX($AL$2:$AL$101)-MIN($AL$2:$AL$101))*99,30))),0))</x:f>
      </x:c>
      <x:c r="Q33" s="20" t="str">
        <x:f>IF($B33="", "", ROUND(MAX(30, MIN(99, IFERROR((AM33-MIN($AM$2:$AM$101))/(MAX($AM$2:$AM$101)-MIN($AM$2:$AM$101))*99,30))),0))</x:f>
      </x:c>
      <x:c r="R33" s="20" t="str">
        <x:f>IF($B33="", "", ROUND(MAX(30, MIN(99, IFERROR((AN33-MIN($AN$2:$AN$101))/(MAX($AN$2:$AN$101)-MIN($AN$2:$AN$101))*99,30))),0))</x:f>
      </x:c>
      <x:c r="S33" s="20" t="str">
        <x:f>IF($B33="", "", ROUND(MAX(30, MIN(99, IFERROR((AO33-MIN($AO$2:$AO$101))/(MAX($AO$2:$AO$101)-MIN($AO$2:$AO$101))*99,30))),0))</x:f>
      </x:c>
      <x:c r="T33" s="20" t="str">
        <x:f>IF($B33="", "", ROUND(MAX(30, MIN(99, IFERROR((AP33-MIN($AP$2:$AP$101))/(MAX($AP$2:$AP$101)-MIN($AP$2:$AP$101))*99,30))),0))</x:f>
      </x:c>
      <x:c r="U33" s="20" t="str">
        <x:f>IF($B33="", "", ROUND(MAX(30, MIN(99, IFERROR((AQ33-MIN($AQ$2:$AQ$101))/(MAX($AQ$2:$AQ$101)-MIN($AQ$2:$AQ$101))*99,30))),0))</x:f>
      </x:c>
      <x:c r="V33" s="20" t="str">
        <x:f>IF($B33="", "", ROUND(MAX(30, MIN(99, IFERROR((AR33-MIN($AR$2:$AR$101))/(MAX($AR$2:$AR$101)-MIN($AR$2:$AR$101))*99,30))),0))</x:f>
      </x:c>
      <x:c r="W33" s="20" t="str">
        <x:f>IF($B33="", "", ROUND(MAX(30, MIN(99, IFERROR((AS33-MIN($AS$2:$AS$101))/(MAX($AS$2:$AS$101)-MIN($AS$2:$AS$101))*99,30))),0))</x:f>
      </x:c>
      <x:c r="X33" s="20" t="str">
        <x:f>IF($B33="", "", ROUND(MAX(30, MIN(99, IFERROR((AT33-MIN($AT$2:$AT$101))/(MAX($AT$2:$AT$101)-MIN($AT$2:$AT$101))*99,30))),0))</x:f>
      </x:c>
      <x:c r="Y33" s="20" t="str">
        <x:f>IF($B33="","",ROUND(AVERAGE(I33:X33),0))</x:f>
      </x:c>
      <x:c r="Z33" s="20" t="str">
        <x:f>IF($B33="","",ROUND(MAX(30,MIN(99,IFS(ISNUMBER(SEARCH("PG",UPPER(SUBSTITUTE($C33,"/","-")))),84,ISNUMBER(SEARCH("SG",UPPER(SUBSTITUTE($C33,"/","-")))),76,ISNUMBER(SEARCH("SF",UPPER(SUBSTITUTE($C33,"/","-")))),68,ISNUMBER(SEARCH("PF",UPPER(SUBSTITUTE($C33,"/","-")))),55,ISNUMBER(SEARCH("C",UPPER(SUBSTITUTE($C33,"/","-")))),42,TRUE,65)+((195-IFERROR($D33,195))*0.15)+((95-IFERROR($E33,95))*0.08))),0))</x:f>
      </x:c>
      <x:c r="AA33" s="20" t="str">
        <x:f>IF($B33="","",ROUND(MAX(30,MIN(99,IFS(ISNUMBER(SEARCH("PG",UPPER(SUBSTITUTE($C33,"/","-")))),84,ISNUMBER(SEARCH("SG",UPPER(SUBSTITUTE($C33,"/","-")))),76,ISNUMBER(SEARCH("SF",UPPER(SUBSTITUTE($C33,"/","-")))),68,ISNUMBER(SEARCH("PF",UPPER(SUBSTITUTE($C33,"/","-")))),55,ISNUMBER(SEARCH("C",UPPER(SUBSTITUTE($C33,"/","-")))),42,TRUE,65)+((195-IFERROR($D33,195))*0.18)+((95-IFERROR($E33,95))*0.10))),0))</x:f>
      </x:c>
      <x:c r="AB33" s="20" t="str">
        <x:f>IF($B33="","",ROUND(MAX(30,MIN(99,IFS(ISNUMBER(SEARCH("PG",UPPER(SUBSTITUTE($C33,"/","-")))),84,ISNUMBER(SEARCH("SG",UPPER(SUBSTITUTE($C33,"/","-")))),76,ISNUMBER(SEARCH("SF",UPPER(SUBSTITUTE($C33,"/","-")))),68,ISNUMBER(SEARCH("PF",UPPER(SUBSTITUTE($C33,"/","-")))),55,ISNUMBER(SEARCH("C",UPPER(SUBSTITUTE($C33,"/","-")))),42,TRUE,65)+2+((195-IFERROR($D33,195))*0.14)+((95-IFERROR($E33,95))*0.09))),0))</x:f>
      </x:c>
      <x:c r="AC33" s="20" t="str">
        <x:f>IF($B33="","",ROUND(MAX(30,MIN(99,IFS(ISNUMBER(SEARCH("C",UPPER(SUBSTITUTE($C33,"/","-")))),92,ISNUMBER(SEARCH("PF",UPPER(SUBSTITUTE($C33,"/","-")))),82,ISNUMBER(SEARCH("SF",UPPER(SUBSTITUTE($C33,"/","-")))),64,ISNUMBER(SEARCH("SG",UPPER(SUBSTITUTE($C33,"/","-")))),48,ISNUMBER(SEARCH("PG",UPPER(SUBSTITUTE($C33,"/","-")))),36,TRUE,60)+((IFERROR($E33,95)-95)*0.45)+((IFERROR($D33,195)-195)*0.10)+((IFERROR($F33,200)-200)*0.08))),0))</x:f>
      </x:c>
      <x:c r="AD33" s="20" t="str">
        <x:f>IF($B33="","",ROUND(MAX(30,MIN(99,65+((IFERROR($F33,200)-200)*0.22)+((IFERROR($D33,195)-195)*0.08)-((IFERROR($E33,95)-95)*0.07))),0))</x:f>
      </x:c>
      <x:c r="AE33" s="15" t="n">
        <x:f>IFERROR(='입력데이터'!S33,0)*0.4+IFERROR(='입력데이터'!AP33,0)*0.4+IFERROR(='입력데이터'!AO33,0)*0.5</x:f>
        <x:v>0</x:v>
      </x:c>
      <x:c r="AF33" s="15" t="n">
        <x:f>IFERROR(='입력데이터'!S33,0)*0.5+IFERROR(='입력데이터'!P33,0)*0.8+IFERROR(='입력데이터'!AG33,0)</x:f>
        <x:v>0</x:v>
      </x:c>
      <x:c r="AG33" s="15" t="n">
        <x:f>IFERROR(='입력데이터'!AJ33,0)*8+IFERROR(IFERROR(='입력데이터'!AJ33,0)/IFERROR(='입력데이터'!AK33,0),0)*30</x:f>
        <x:v>0</x:v>
      </x:c>
      <x:c r="AH33" s="15" t="n">
        <x:f>IFERROR(='입력데이터'!AJ33,0)*6+IFERROR(='입력데이터'!AH33,0)*4</x:f>
        <x:v>0</x:v>
      </x:c>
      <x:c r="AI33" s="15" t="n">
        <x:f>IFERROR(='입력데이터'!AP33,0)*0.4+IFERROR(='입력데이터'!AE33,0)*1.5+IFERROR(='입력데이터'!Q33,0)*1.5</x:f>
        <x:v>0</x:v>
      </x:c>
      <x:c r="AJ33" s="15" t="n">
        <x:f>MAX(0,IFERROR(='입력데이터'!P33,0)-IFERROR(='입력데이터'!Q33,0)*2-IFERROR(='입력데이터'!T33,0)*3-IFERROR(='입력데이터'!Z33,0))*1.5+IFERROR(='입력데이터'!Y33,0)*0.3</x:f>
        <x:v>0</x:v>
      </x:c>
      <x:c r="AK33" s="15" t="n">
        <x:f>IFERROR(='입력데이터'!V33,0)*0.6+IFERROR(='입력데이터'!U33,0)*2+IFERROR(='입력데이터'!T33,0)*3</x:f>
        <x:v>0</x:v>
      </x:c>
      <x:c r="AL33" s="15" t="n">
        <x:f>IFERROR(='입력데이터'!AB33,0)*0.7+IFERROR(='입력데이터'!AA33,0)*1.5</x:f>
        <x:v>0</x:v>
      </x:c>
      <x:c r="AM33" s="15" t="n">
        <x:f>IFERROR(='입력데이터'!AF33,0)*5+IFERROR(IFERROR(='입력데이터'!AF33,0)/IFERROR(='입력데이터'!AL33,0),0)*3+IFERROR(='입력데이터'!AT33,0)</x:f>
        <x:v>0</x:v>
      </x:c>
      <x:c r="AN33" s="15" t="n">
        <x:f>IFERROR(='입력데이터'!AF33,0)*3+IFERROR(='입력데이터'!AG33,0)*3+IFERROR(IFERROR(='입력데이터'!AF33,0)/IFERROR(='입력데이터'!AL33,0),0)*4</x:f>
        <x:v>0</x:v>
      </x:c>
      <x:c r="AO33" s="15" t="n">
        <x:f>IFERROR(='입력데이터'!AG33,0)*12+IFERROR(='입력데이터'!AU33,0)*6</x:f>
        <x:v>0</x:v>
      </x:c>
      <x:c r="AP33" s="15" t="n">
        <x:f>IFERROR(='입력데이터'!AH33,0)*14+IFERROR(='입력데이터'!AD33,0)</x:f>
        <x:v>0</x:v>
      </x:c>
      <x:c r="AQ33" s="15" t="n">
        <x:f>IFERROR(='입력데이터'!AC33,0)*10</x:f>
        <x:v>0</x:v>
      </x:c>
      <x:c r="AR33" s="15" t="n">
        <x:f>IFERROR(='입력데이터'!AD33,0)*7+IFERROR(='입력데이터'!AH33,0)*2</x:f>
        <x:v>0</x:v>
      </x:c>
      <x:c r="AS33" s="15" t="n">
        <x:f>IFERROR(='입력데이터'!AH33,0)*8+IFERROR(='입력데이터'!AD33,0)*2+IFERROR(='입력데이터'!AI33,0)*4</x:f>
        <x:v>0</x:v>
      </x:c>
      <x:c r="AT33" s="16" t="n">
        <x:f>IFERROR(='입력데이터'!AG33,0)*8+IFERROR(='입력데이터'!AI33,0)*5+IFERROR(='입력데이터'!AU33,0)*4</x:f>
        <x:v>0</x:v>
      </x:c>
    </x:row>
    <x:row r="34">
      <x:c r="A34" s="14" t="str">
        <x:f>IF('입력데이터'!$B34="","",'입력데이터'!A34)</x:f>
      </x:c>
      <x:c r="B34" s="15" t="str">
        <x:f>IF('입력데이터'!$B34="","",'입력데이터'!B34)</x:f>
      </x:c>
      <x:c r="C34" s="15" t="str">
        <x:f>IF('입력데이터'!$B34="","",'입력데이터'!K34)</x:f>
      </x:c>
      <x:c r="D34" s="15" t="str">
        <x:f>IF('입력데이터'!$B34="","",'입력데이터'!H34)</x:f>
      </x:c>
      <x:c r="E34" s="15" t="str">
        <x:f>IF('입력데이터'!$B34="","",'입력데이터'!I34)</x:f>
      </x:c>
      <x:c r="F34" s="15" t="str">
        <x:f>IF('입력데이터'!$B34="","",'입력데이터'!J34)</x:f>
      </x:c>
      <x:c r="G34" s="15" t="str">
        <x:f>IF('입력데이터'!$B34="","",'입력데이터'!L34)</x:f>
      </x:c>
      <x:c r="H34" s="15" t="str">
        <x:f>IF('입력데이터'!$B34="","",'입력데이터'!O34)</x:f>
      </x:c>
      <x:c r="I34" s="20" t="str">
        <x:f>IF($B34="", "", ROUND(MAX(30, MIN(99, IFERROR((AE34-MIN($AE$2:$AE$101))/(MAX($AE$2:$AE$101)-MIN($AE$2:$AE$101))*99,30))),0))</x:f>
      </x:c>
      <x:c r="J34" s="20" t="str">
        <x:f>IF($B34="", "", ROUND(MAX(30, MIN(99, IFERROR((AF34-MIN($AF$2:$AF$101))/(MAX($AF$2:$AF$101)-MIN($AF$2:$AF$101))*99,30))),0))</x:f>
      </x:c>
      <x:c r="K34" s="20" t="str">
        <x:f>IF($B34="", "", ROUND(MAX(30, MIN(99, IFERROR((AG34-MIN($AG$2:$AG$101))/(MAX($AG$2:$AG$101)-MIN($AG$2:$AG$101))*99,30))),0))</x:f>
      </x:c>
      <x:c r="L34" s="20" t="str">
        <x:f>IF($B34="", "", ROUND(MAX(30, MIN(99, IFERROR((AH34-MIN($AH$2:$AH$101))/(MAX($AH$2:$AH$101)-MIN($AH$2:$AH$101))*99,30))),0))</x:f>
      </x:c>
      <x:c r="M34" s="20" t="str">
        <x:f>IF($B34="", "", ROUND(MAX(30, MIN(99, IFERROR((AI34-MIN($AI$2:$AI$101))/(MAX($AI$2:$AI$101)-MIN($AI$2:$AI$101))*99,30))),0))</x:f>
      </x:c>
      <x:c r="N34" s="20" t="str">
        <x:f>IF($B34="", "", ROUND(MAX(30, MIN(99, IFERROR((AJ34-MIN($AJ$2:$AJ$101))/(MAX($AJ$2:$AJ$101)-MIN($AJ$2:$AJ$101))*99,30))),0))</x:f>
      </x:c>
      <x:c r="O34" s="20" t="str">
        <x:f>IF($B34="", "", ROUND(MAX(30, MIN(99, IFERROR((AK34-MIN($AK$2:$AK$101))/(MAX($AK$2:$AK$101)-MIN($AK$2:$AK$101))*99,30))),0))</x:f>
      </x:c>
      <x:c r="P34" s="20" t="str">
        <x:f>IF($B34="", "", ROUND(MAX(30, MIN(99, IFERROR((AL34-MIN($AL$2:$AL$101))/(MAX($AL$2:$AL$101)-MIN($AL$2:$AL$101))*99,30))),0))</x:f>
      </x:c>
      <x:c r="Q34" s="20" t="str">
        <x:f>IF($B34="", "", ROUND(MAX(30, MIN(99, IFERROR((AM34-MIN($AM$2:$AM$101))/(MAX($AM$2:$AM$101)-MIN($AM$2:$AM$101))*99,30))),0))</x:f>
      </x:c>
      <x:c r="R34" s="20" t="str">
        <x:f>IF($B34="", "", ROUND(MAX(30, MIN(99, IFERROR((AN34-MIN($AN$2:$AN$101))/(MAX($AN$2:$AN$101)-MIN($AN$2:$AN$101))*99,30))),0))</x:f>
      </x:c>
      <x:c r="S34" s="20" t="str">
        <x:f>IF($B34="", "", ROUND(MAX(30, MIN(99, IFERROR((AO34-MIN($AO$2:$AO$101))/(MAX($AO$2:$AO$101)-MIN($AO$2:$AO$101))*99,30))),0))</x:f>
      </x:c>
      <x:c r="T34" s="20" t="str">
        <x:f>IF($B34="", "", ROUND(MAX(30, MIN(99, IFERROR((AP34-MIN($AP$2:$AP$101))/(MAX($AP$2:$AP$101)-MIN($AP$2:$AP$101))*99,30))),0))</x:f>
      </x:c>
      <x:c r="U34" s="20" t="str">
        <x:f>IF($B34="", "", ROUND(MAX(30, MIN(99, IFERROR((AQ34-MIN($AQ$2:$AQ$101))/(MAX($AQ$2:$AQ$101)-MIN($AQ$2:$AQ$101))*99,30))),0))</x:f>
      </x:c>
      <x:c r="V34" s="20" t="str">
        <x:f>IF($B34="", "", ROUND(MAX(30, MIN(99, IFERROR((AR34-MIN($AR$2:$AR$101))/(MAX($AR$2:$AR$101)-MIN($AR$2:$AR$101))*99,30))),0))</x:f>
      </x:c>
      <x:c r="W34" s="20" t="str">
        <x:f>IF($B34="", "", ROUND(MAX(30, MIN(99, IFERROR((AS34-MIN($AS$2:$AS$101))/(MAX($AS$2:$AS$101)-MIN($AS$2:$AS$101))*99,30))),0))</x:f>
      </x:c>
      <x:c r="X34" s="20" t="str">
        <x:f>IF($B34="", "", ROUND(MAX(30, MIN(99, IFERROR((AT34-MIN($AT$2:$AT$101))/(MAX($AT$2:$AT$101)-MIN($AT$2:$AT$101))*99,30))),0))</x:f>
      </x:c>
      <x:c r="Y34" s="20" t="str">
        <x:f>IF($B34="","",ROUND(AVERAGE(I34:X34),0))</x:f>
      </x:c>
      <x:c r="Z34" s="20" t="str">
        <x:f>IF($B34="","",ROUND(MAX(30,MIN(99,IFS(ISNUMBER(SEARCH("PG",UPPER(SUBSTITUTE($C34,"/","-")))),84,ISNUMBER(SEARCH("SG",UPPER(SUBSTITUTE($C34,"/","-")))),76,ISNUMBER(SEARCH("SF",UPPER(SUBSTITUTE($C34,"/","-")))),68,ISNUMBER(SEARCH("PF",UPPER(SUBSTITUTE($C34,"/","-")))),55,ISNUMBER(SEARCH("C",UPPER(SUBSTITUTE($C34,"/","-")))),42,TRUE,65)+((195-IFERROR($D34,195))*0.15)+((95-IFERROR($E34,95))*0.08))),0))</x:f>
      </x:c>
      <x:c r="AA34" s="20" t="str">
        <x:f>IF($B34="","",ROUND(MAX(30,MIN(99,IFS(ISNUMBER(SEARCH("PG",UPPER(SUBSTITUTE($C34,"/","-")))),84,ISNUMBER(SEARCH("SG",UPPER(SUBSTITUTE($C34,"/","-")))),76,ISNUMBER(SEARCH("SF",UPPER(SUBSTITUTE($C34,"/","-")))),68,ISNUMBER(SEARCH("PF",UPPER(SUBSTITUTE($C34,"/","-")))),55,ISNUMBER(SEARCH("C",UPPER(SUBSTITUTE($C34,"/","-")))),42,TRUE,65)+((195-IFERROR($D34,195))*0.18)+((95-IFERROR($E34,95))*0.10))),0))</x:f>
      </x:c>
      <x:c r="AB34" s="20" t="str">
        <x:f>IF($B34="","",ROUND(MAX(30,MIN(99,IFS(ISNUMBER(SEARCH("PG",UPPER(SUBSTITUTE($C34,"/","-")))),84,ISNUMBER(SEARCH("SG",UPPER(SUBSTITUTE($C34,"/","-")))),76,ISNUMBER(SEARCH("SF",UPPER(SUBSTITUTE($C34,"/","-")))),68,ISNUMBER(SEARCH("PF",UPPER(SUBSTITUTE($C34,"/","-")))),55,ISNUMBER(SEARCH("C",UPPER(SUBSTITUTE($C34,"/","-")))),42,TRUE,65)+2+((195-IFERROR($D34,195))*0.14)+((95-IFERROR($E34,95))*0.09))),0))</x:f>
      </x:c>
      <x:c r="AC34" s="20" t="str">
        <x:f>IF($B34="","",ROUND(MAX(30,MIN(99,IFS(ISNUMBER(SEARCH("C",UPPER(SUBSTITUTE($C34,"/","-")))),92,ISNUMBER(SEARCH("PF",UPPER(SUBSTITUTE($C34,"/","-")))),82,ISNUMBER(SEARCH("SF",UPPER(SUBSTITUTE($C34,"/","-")))),64,ISNUMBER(SEARCH("SG",UPPER(SUBSTITUTE($C34,"/","-")))),48,ISNUMBER(SEARCH("PG",UPPER(SUBSTITUTE($C34,"/","-")))),36,TRUE,60)+((IFERROR($E34,95)-95)*0.45)+((IFERROR($D34,195)-195)*0.10)+((IFERROR($F34,200)-200)*0.08))),0))</x:f>
      </x:c>
      <x:c r="AD34" s="20" t="str">
        <x:f>IF($B34="","",ROUND(MAX(30,MIN(99,65+((IFERROR($F34,200)-200)*0.22)+((IFERROR($D34,195)-195)*0.08)-((IFERROR($E34,95)-95)*0.07))),0))</x:f>
      </x:c>
      <x:c r="AE34" s="15" t="n">
        <x:f>IFERROR(='입력데이터'!S34,0)*0.4+IFERROR(='입력데이터'!AP34,0)*0.4+IFERROR(='입력데이터'!AO34,0)*0.5</x:f>
        <x:v>0</x:v>
      </x:c>
      <x:c r="AF34" s="15" t="n">
        <x:f>IFERROR(='입력데이터'!S34,0)*0.5+IFERROR(='입력데이터'!P34,0)*0.8+IFERROR(='입력데이터'!AG34,0)</x:f>
        <x:v>0</x:v>
      </x:c>
      <x:c r="AG34" s="15" t="n">
        <x:f>IFERROR(='입력데이터'!AJ34,0)*8+IFERROR(IFERROR(='입력데이터'!AJ34,0)/IFERROR(='입력데이터'!AK34,0),0)*30</x:f>
        <x:v>0</x:v>
      </x:c>
      <x:c r="AH34" s="15" t="n">
        <x:f>IFERROR(='입력데이터'!AJ34,0)*6+IFERROR(='입력데이터'!AH34,0)*4</x:f>
        <x:v>0</x:v>
      </x:c>
      <x:c r="AI34" s="15" t="n">
        <x:f>IFERROR(='입력데이터'!AP34,0)*0.4+IFERROR(='입력데이터'!AE34,0)*1.5+IFERROR(='입력데이터'!Q34,0)*1.5</x:f>
        <x:v>0</x:v>
      </x:c>
      <x:c r="AJ34" s="15" t="n">
        <x:f>MAX(0,IFERROR(='입력데이터'!P34,0)-IFERROR(='입력데이터'!Q34,0)*2-IFERROR(='입력데이터'!T34,0)*3-IFERROR(='입력데이터'!Z34,0))*1.5+IFERROR(='입력데이터'!Y34,0)*0.3</x:f>
        <x:v>0</x:v>
      </x:c>
      <x:c r="AK34" s="15" t="n">
        <x:f>IFERROR(='입력데이터'!V34,0)*0.6+IFERROR(='입력데이터'!U34,0)*2+IFERROR(='입력데이터'!T34,0)*3</x:f>
        <x:v>0</x:v>
      </x:c>
      <x:c r="AL34" s="15" t="n">
        <x:f>IFERROR(='입력데이터'!AB34,0)*0.7+IFERROR(='입력데이터'!AA34,0)*1.5</x:f>
        <x:v>0</x:v>
      </x:c>
      <x:c r="AM34" s="15" t="n">
        <x:f>IFERROR(='입력데이터'!AF34,0)*5+IFERROR(IFERROR(='입력데이터'!AF34,0)/IFERROR(='입력데이터'!AL34,0),0)*3+IFERROR(='입력데이터'!AT34,0)</x:f>
        <x:v>0</x:v>
      </x:c>
      <x:c r="AN34" s="15" t="n">
        <x:f>IFERROR(='입력데이터'!AF34,0)*3+IFERROR(='입력데이터'!AG34,0)*3+IFERROR(IFERROR(='입력데이터'!AF34,0)/IFERROR(='입력데이터'!AL34,0),0)*4</x:f>
        <x:v>0</x:v>
      </x:c>
      <x:c r="AO34" s="15" t="n">
        <x:f>IFERROR(='입력데이터'!AG34,0)*12+IFERROR(='입력데이터'!AU34,0)*6</x:f>
        <x:v>0</x:v>
      </x:c>
      <x:c r="AP34" s="15" t="n">
        <x:f>IFERROR(='입력데이터'!AH34,0)*14+IFERROR(='입력데이터'!AD34,0)</x:f>
        <x:v>0</x:v>
      </x:c>
      <x:c r="AQ34" s="15" t="n">
        <x:f>IFERROR(='입력데이터'!AC34,0)*10</x:f>
        <x:v>0</x:v>
      </x:c>
      <x:c r="AR34" s="15" t="n">
        <x:f>IFERROR(='입력데이터'!AD34,0)*7+IFERROR(='입력데이터'!AH34,0)*2</x:f>
        <x:v>0</x:v>
      </x:c>
      <x:c r="AS34" s="15" t="n">
        <x:f>IFERROR(='입력데이터'!AH34,0)*8+IFERROR(='입력데이터'!AD34,0)*2+IFERROR(='입력데이터'!AI34,0)*4</x:f>
        <x:v>0</x:v>
      </x:c>
      <x:c r="AT34" s="16" t="n">
        <x:f>IFERROR(='입력데이터'!AG34,0)*8+IFERROR(='입력데이터'!AI34,0)*5+IFERROR(='입력데이터'!AU34,0)*4</x:f>
        <x:v>0</x:v>
      </x:c>
    </x:row>
    <x:row r="35">
      <x:c r="A35" s="14" t="str">
        <x:f>IF('입력데이터'!$B35="","",'입력데이터'!A35)</x:f>
      </x:c>
      <x:c r="B35" s="15" t="str">
        <x:f>IF('입력데이터'!$B35="","",'입력데이터'!B35)</x:f>
      </x:c>
      <x:c r="C35" s="15" t="str">
        <x:f>IF('입력데이터'!$B35="","",'입력데이터'!K35)</x:f>
      </x:c>
      <x:c r="D35" s="15" t="str">
        <x:f>IF('입력데이터'!$B35="","",'입력데이터'!H35)</x:f>
      </x:c>
      <x:c r="E35" s="15" t="str">
        <x:f>IF('입력데이터'!$B35="","",'입력데이터'!I35)</x:f>
      </x:c>
      <x:c r="F35" s="15" t="str">
        <x:f>IF('입력데이터'!$B35="","",'입력데이터'!J35)</x:f>
      </x:c>
      <x:c r="G35" s="15" t="str">
        <x:f>IF('입력데이터'!$B35="","",'입력데이터'!L35)</x:f>
      </x:c>
      <x:c r="H35" s="15" t="str">
        <x:f>IF('입력데이터'!$B35="","",'입력데이터'!O35)</x:f>
      </x:c>
      <x:c r="I35" s="20" t="str">
        <x:f>IF($B35="", "", ROUND(MAX(30, MIN(99, IFERROR((AE35-MIN($AE$2:$AE$101))/(MAX($AE$2:$AE$101)-MIN($AE$2:$AE$101))*99,30))),0))</x:f>
      </x:c>
      <x:c r="J35" s="20" t="str">
        <x:f>IF($B35="", "", ROUND(MAX(30, MIN(99, IFERROR((AF35-MIN($AF$2:$AF$101))/(MAX($AF$2:$AF$101)-MIN($AF$2:$AF$101))*99,30))),0))</x:f>
      </x:c>
      <x:c r="K35" s="20" t="str">
        <x:f>IF($B35="", "", ROUND(MAX(30, MIN(99, IFERROR((AG35-MIN($AG$2:$AG$101))/(MAX($AG$2:$AG$101)-MIN($AG$2:$AG$101))*99,30))),0))</x:f>
      </x:c>
      <x:c r="L35" s="20" t="str">
        <x:f>IF($B35="", "", ROUND(MAX(30, MIN(99, IFERROR((AH35-MIN($AH$2:$AH$101))/(MAX($AH$2:$AH$101)-MIN($AH$2:$AH$101))*99,30))),0))</x:f>
      </x:c>
      <x:c r="M35" s="20" t="str">
        <x:f>IF($B35="", "", ROUND(MAX(30, MIN(99, IFERROR((AI35-MIN($AI$2:$AI$101))/(MAX($AI$2:$AI$101)-MIN($AI$2:$AI$101))*99,30))),0))</x:f>
      </x:c>
      <x:c r="N35" s="20" t="str">
        <x:f>IF($B35="", "", ROUND(MAX(30, MIN(99, IFERROR((AJ35-MIN($AJ$2:$AJ$101))/(MAX($AJ$2:$AJ$101)-MIN($AJ$2:$AJ$101))*99,30))),0))</x:f>
      </x:c>
      <x:c r="O35" s="20" t="str">
        <x:f>IF($B35="", "", ROUND(MAX(30, MIN(99, IFERROR((AK35-MIN($AK$2:$AK$101))/(MAX($AK$2:$AK$101)-MIN($AK$2:$AK$101))*99,30))),0))</x:f>
      </x:c>
      <x:c r="P35" s="20" t="str">
        <x:f>IF($B35="", "", ROUND(MAX(30, MIN(99, IFERROR((AL35-MIN($AL$2:$AL$101))/(MAX($AL$2:$AL$101)-MIN($AL$2:$AL$101))*99,30))),0))</x:f>
      </x:c>
      <x:c r="Q35" s="20" t="str">
        <x:f>IF($B35="", "", ROUND(MAX(30, MIN(99, IFERROR((AM35-MIN($AM$2:$AM$101))/(MAX($AM$2:$AM$101)-MIN($AM$2:$AM$101))*99,30))),0))</x:f>
      </x:c>
      <x:c r="R35" s="20" t="str">
        <x:f>IF($B35="", "", ROUND(MAX(30, MIN(99, IFERROR((AN35-MIN($AN$2:$AN$101))/(MAX($AN$2:$AN$101)-MIN($AN$2:$AN$101))*99,30))),0))</x:f>
      </x:c>
      <x:c r="S35" s="20" t="str">
        <x:f>IF($B35="", "", ROUND(MAX(30, MIN(99, IFERROR((AO35-MIN($AO$2:$AO$101))/(MAX($AO$2:$AO$101)-MIN($AO$2:$AO$101))*99,30))),0))</x:f>
      </x:c>
      <x:c r="T35" s="20" t="str">
        <x:f>IF($B35="", "", ROUND(MAX(30, MIN(99, IFERROR((AP35-MIN($AP$2:$AP$101))/(MAX($AP$2:$AP$101)-MIN($AP$2:$AP$101))*99,30))),0))</x:f>
      </x:c>
      <x:c r="U35" s="20" t="str">
        <x:f>IF($B35="", "", ROUND(MAX(30, MIN(99, IFERROR((AQ35-MIN($AQ$2:$AQ$101))/(MAX($AQ$2:$AQ$101)-MIN($AQ$2:$AQ$101))*99,30))),0))</x:f>
      </x:c>
      <x:c r="V35" s="20" t="str">
        <x:f>IF($B35="", "", ROUND(MAX(30, MIN(99, IFERROR((AR35-MIN($AR$2:$AR$101))/(MAX($AR$2:$AR$101)-MIN($AR$2:$AR$101))*99,30))),0))</x:f>
      </x:c>
      <x:c r="W35" s="20" t="str">
        <x:f>IF($B35="", "", ROUND(MAX(30, MIN(99, IFERROR((AS35-MIN($AS$2:$AS$101))/(MAX($AS$2:$AS$101)-MIN($AS$2:$AS$101))*99,30))),0))</x:f>
      </x:c>
      <x:c r="X35" s="20" t="str">
        <x:f>IF($B35="", "", ROUND(MAX(30, MIN(99, IFERROR((AT35-MIN($AT$2:$AT$101))/(MAX($AT$2:$AT$101)-MIN($AT$2:$AT$101))*99,30))),0))</x:f>
      </x:c>
      <x:c r="Y35" s="20" t="str">
        <x:f>IF($B35="","",ROUND(AVERAGE(I35:X35),0))</x:f>
      </x:c>
      <x:c r="Z35" s="20" t="str">
        <x:f>IF($B35="","",ROUND(MAX(30,MIN(99,IFS(ISNUMBER(SEARCH("PG",UPPER(SUBSTITUTE($C35,"/","-")))),84,ISNUMBER(SEARCH("SG",UPPER(SUBSTITUTE($C35,"/","-")))),76,ISNUMBER(SEARCH("SF",UPPER(SUBSTITUTE($C35,"/","-")))),68,ISNUMBER(SEARCH("PF",UPPER(SUBSTITUTE($C35,"/","-")))),55,ISNUMBER(SEARCH("C",UPPER(SUBSTITUTE($C35,"/","-")))),42,TRUE,65)+((195-IFERROR($D35,195))*0.15)+((95-IFERROR($E35,95))*0.08))),0))</x:f>
      </x:c>
      <x:c r="AA35" s="20" t="str">
        <x:f>IF($B35="","",ROUND(MAX(30,MIN(99,IFS(ISNUMBER(SEARCH("PG",UPPER(SUBSTITUTE($C35,"/","-")))),84,ISNUMBER(SEARCH("SG",UPPER(SUBSTITUTE($C35,"/","-")))),76,ISNUMBER(SEARCH("SF",UPPER(SUBSTITUTE($C35,"/","-")))),68,ISNUMBER(SEARCH("PF",UPPER(SUBSTITUTE($C35,"/","-")))),55,ISNUMBER(SEARCH("C",UPPER(SUBSTITUTE($C35,"/","-")))),42,TRUE,65)+((195-IFERROR($D35,195))*0.18)+((95-IFERROR($E35,95))*0.10))),0))</x:f>
      </x:c>
      <x:c r="AB35" s="20" t="str">
        <x:f>IF($B35="","",ROUND(MAX(30,MIN(99,IFS(ISNUMBER(SEARCH("PG",UPPER(SUBSTITUTE($C35,"/","-")))),84,ISNUMBER(SEARCH("SG",UPPER(SUBSTITUTE($C35,"/","-")))),76,ISNUMBER(SEARCH("SF",UPPER(SUBSTITUTE($C35,"/","-")))),68,ISNUMBER(SEARCH("PF",UPPER(SUBSTITUTE($C35,"/","-")))),55,ISNUMBER(SEARCH("C",UPPER(SUBSTITUTE($C35,"/","-")))),42,TRUE,65)+2+((195-IFERROR($D35,195))*0.14)+((95-IFERROR($E35,95))*0.09))),0))</x:f>
      </x:c>
      <x:c r="AC35" s="20" t="str">
        <x:f>IF($B35="","",ROUND(MAX(30,MIN(99,IFS(ISNUMBER(SEARCH("C",UPPER(SUBSTITUTE($C35,"/","-")))),92,ISNUMBER(SEARCH("PF",UPPER(SUBSTITUTE($C35,"/","-")))),82,ISNUMBER(SEARCH("SF",UPPER(SUBSTITUTE($C35,"/","-")))),64,ISNUMBER(SEARCH("SG",UPPER(SUBSTITUTE($C35,"/","-")))),48,ISNUMBER(SEARCH("PG",UPPER(SUBSTITUTE($C35,"/","-")))),36,TRUE,60)+((IFERROR($E35,95)-95)*0.45)+((IFERROR($D35,195)-195)*0.10)+((IFERROR($F35,200)-200)*0.08))),0))</x:f>
      </x:c>
      <x:c r="AD35" s="20" t="str">
        <x:f>IF($B35="","",ROUND(MAX(30,MIN(99,65+((IFERROR($F35,200)-200)*0.22)+((IFERROR($D35,195)-195)*0.08)-((IFERROR($E35,95)-95)*0.07))),0))</x:f>
      </x:c>
      <x:c r="AE35" s="15" t="n">
        <x:f>IFERROR(='입력데이터'!S35,0)*0.4+IFERROR(='입력데이터'!AP35,0)*0.4+IFERROR(='입력데이터'!AO35,0)*0.5</x:f>
        <x:v>0</x:v>
      </x:c>
      <x:c r="AF35" s="15" t="n">
        <x:f>IFERROR(='입력데이터'!S35,0)*0.5+IFERROR(='입력데이터'!P35,0)*0.8+IFERROR(='입력데이터'!AG35,0)</x:f>
        <x:v>0</x:v>
      </x:c>
      <x:c r="AG35" s="15" t="n">
        <x:f>IFERROR(='입력데이터'!AJ35,0)*8+IFERROR(IFERROR(='입력데이터'!AJ35,0)/IFERROR(='입력데이터'!AK35,0),0)*30</x:f>
        <x:v>0</x:v>
      </x:c>
      <x:c r="AH35" s="15" t="n">
        <x:f>IFERROR(='입력데이터'!AJ35,0)*6+IFERROR(='입력데이터'!AH35,0)*4</x:f>
        <x:v>0</x:v>
      </x:c>
      <x:c r="AI35" s="15" t="n">
        <x:f>IFERROR(='입력데이터'!AP35,0)*0.4+IFERROR(='입력데이터'!AE35,0)*1.5+IFERROR(='입력데이터'!Q35,0)*1.5</x:f>
        <x:v>0</x:v>
      </x:c>
      <x:c r="AJ35" s="15" t="n">
        <x:f>MAX(0,IFERROR(='입력데이터'!P35,0)-IFERROR(='입력데이터'!Q35,0)*2-IFERROR(='입력데이터'!T35,0)*3-IFERROR(='입력데이터'!Z35,0))*1.5+IFERROR(='입력데이터'!Y35,0)*0.3</x:f>
        <x:v>0</x:v>
      </x:c>
      <x:c r="AK35" s="15" t="n">
        <x:f>IFERROR(='입력데이터'!V35,0)*0.6+IFERROR(='입력데이터'!U35,0)*2+IFERROR(='입력데이터'!T35,0)*3</x:f>
        <x:v>0</x:v>
      </x:c>
      <x:c r="AL35" s="15" t="n">
        <x:f>IFERROR(='입력데이터'!AB35,0)*0.7+IFERROR(='입력데이터'!AA35,0)*1.5</x:f>
        <x:v>0</x:v>
      </x:c>
      <x:c r="AM35" s="15" t="n">
        <x:f>IFERROR(='입력데이터'!AF35,0)*5+IFERROR(IFERROR(='입력데이터'!AF35,0)/IFERROR(='입력데이터'!AL35,0),0)*3+IFERROR(='입력데이터'!AT35,0)</x:f>
        <x:v>0</x:v>
      </x:c>
      <x:c r="AN35" s="15" t="n">
        <x:f>IFERROR(='입력데이터'!AF35,0)*3+IFERROR(='입력데이터'!AG35,0)*3+IFERROR(IFERROR(='입력데이터'!AF35,0)/IFERROR(='입력데이터'!AL35,0),0)*4</x:f>
        <x:v>0</x:v>
      </x:c>
      <x:c r="AO35" s="15" t="n">
        <x:f>IFERROR(='입력데이터'!AG35,0)*12+IFERROR(='입력데이터'!AU35,0)*6</x:f>
        <x:v>0</x:v>
      </x:c>
      <x:c r="AP35" s="15" t="n">
        <x:f>IFERROR(='입력데이터'!AH35,0)*14+IFERROR(='입력데이터'!AD35,0)</x:f>
        <x:v>0</x:v>
      </x:c>
      <x:c r="AQ35" s="15" t="n">
        <x:f>IFERROR(='입력데이터'!AC35,0)*10</x:f>
        <x:v>0</x:v>
      </x:c>
      <x:c r="AR35" s="15" t="n">
        <x:f>IFERROR(='입력데이터'!AD35,0)*7+IFERROR(='입력데이터'!AH35,0)*2</x:f>
        <x:v>0</x:v>
      </x:c>
      <x:c r="AS35" s="15" t="n">
        <x:f>IFERROR(='입력데이터'!AH35,0)*8+IFERROR(='입력데이터'!AD35,0)*2+IFERROR(='입력데이터'!AI35,0)*4</x:f>
        <x:v>0</x:v>
      </x:c>
      <x:c r="AT35" s="16" t="n">
        <x:f>IFERROR(='입력데이터'!AG35,0)*8+IFERROR(='입력데이터'!AI35,0)*5+IFERROR(='입력데이터'!AU35,0)*4</x:f>
        <x:v>0</x:v>
      </x:c>
    </x:row>
    <x:row r="36">
      <x:c r="A36" s="14" t="str">
        <x:f>IF('입력데이터'!$B36="","",'입력데이터'!A36)</x:f>
      </x:c>
      <x:c r="B36" s="15" t="str">
        <x:f>IF('입력데이터'!$B36="","",'입력데이터'!B36)</x:f>
      </x:c>
      <x:c r="C36" s="15" t="str">
        <x:f>IF('입력데이터'!$B36="","",'입력데이터'!K36)</x:f>
      </x:c>
      <x:c r="D36" s="15" t="str">
        <x:f>IF('입력데이터'!$B36="","",'입력데이터'!H36)</x:f>
      </x:c>
      <x:c r="E36" s="15" t="str">
        <x:f>IF('입력데이터'!$B36="","",'입력데이터'!I36)</x:f>
      </x:c>
      <x:c r="F36" s="15" t="str">
        <x:f>IF('입력데이터'!$B36="","",'입력데이터'!J36)</x:f>
      </x:c>
      <x:c r="G36" s="15" t="str">
        <x:f>IF('입력데이터'!$B36="","",'입력데이터'!L36)</x:f>
      </x:c>
      <x:c r="H36" s="15" t="str">
        <x:f>IF('입력데이터'!$B36="","",'입력데이터'!O36)</x:f>
      </x:c>
      <x:c r="I36" s="20" t="str">
        <x:f>IF($B36="", "", ROUND(MAX(30, MIN(99, IFERROR((AE36-MIN($AE$2:$AE$101))/(MAX($AE$2:$AE$101)-MIN($AE$2:$AE$101))*99,30))),0))</x:f>
      </x:c>
      <x:c r="J36" s="20" t="str">
        <x:f>IF($B36="", "", ROUND(MAX(30, MIN(99, IFERROR((AF36-MIN($AF$2:$AF$101))/(MAX($AF$2:$AF$101)-MIN($AF$2:$AF$101))*99,30))),0))</x:f>
      </x:c>
      <x:c r="K36" s="20" t="str">
        <x:f>IF($B36="", "", ROUND(MAX(30, MIN(99, IFERROR((AG36-MIN($AG$2:$AG$101))/(MAX($AG$2:$AG$101)-MIN($AG$2:$AG$101))*99,30))),0))</x:f>
      </x:c>
      <x:c r="L36" s="20" t="str">
        <x:f>IF($B36="", "", ROUND(MAX(30, MIN(99, IFERROR((AH36-MIN($AH$2:$AH$101))/(MAX($AH$2:$AH$101)-MIN($AH$2:$AH$101))*99,30))),0))</x:f>
      </x:c>
      <x:c r="M36" s="20" t="str">
        <x:f>IF($B36="", "", ROUND(MAX(30, MIN(99, IFERROR((AI36-MIN($AI$2:$AI$101))/(MAX($AI$2:$AI$101)-MIN($AI$2:$AI$101))*99,30))),0))</x:f>
      </x:c>
      <x:c r="N36" s="20" t="str">
        <x:f>IF($B36="", "", ROUND(MAX(30, MIN(99, IFERROR((AJ36-MIN($AJ$2:$AJ$101))/(MAX($AJ$2:$AJ$101)-MIN($AJ$2:$AJ$101))*99,30))),0))</x:f>
      </x:c>
      <x:c r="O36" s="20" t="str">
        <x:f>IF($B36="", "", ROUND(MAX(30, MIN(99, IFERROR((AK36-MIN($AK$2:$AK$101))/(MAX($AK$2:$AK$101)-MIN($AK$2:$AK$101))*99,30))),0))</x:f>
      </x:c>
      <x:c r="P36" s="20" t="str">
        <x:f>IF($B36="", "", ROUND(MAX(30, MIN(99, IFERROR((AL36-MIN($AL$2:$AL$101))/(MAX($AL$2:$AL$101)-MIN($AL$2:$AL$101))*99,30))),0))</x:f>
      </x:c>
      <x:c r="Q36" s="20" t="str">
        <x:f>IF($B36="", "", ROUND(MAX(30, MIN(99, IFERROR((AM36-MIN($AM$2:$AM$101))/(MAX($AM$2:$AM$101)-MIN($AM$2:$AM$101))*99,30))),0))</x:f>
      </x:c>
      <x:c r="R36" s="20" t="str">
        <x:f>IF($B36="", "", ROUND(MAX(30, MIN(99, IFERROR((AN36-MIN($AN$2:$AN$101))/(MAX($AN$2:$AN$101)-MIN($AN$2:$AN$101))*99,30))),0))</x:f>
      </x:c>
      <x:c r="S36" s="20" t="str">
        <x:f>IF($B36="", "", ROUND(MAX(30, MIN(99, IFERROR((AO36-MIN($AO$2:$AO$101))/(MAX($AO$2:$AO$101)-MIN($AO$2:$AO$101))*99,30))),0))</x:f>
      </x:c>
      <x:c r="T36" s="20" t="str">
        <x:f>IF($B36="", "", ROUND(MAX(30, MIN(99, IFERROR((AP36-MIN($AP$2:$AP$101))/(MAX($AP$2:$AP$101)-MIN($AP$2:$AP$101))*99,30))),0))</x:f>
      </x:c>
      <x:c r="U36" s="20" t="str">
        <x:f>IF($B36="", "", ROUND(MAX(30, MIN(99, IFERROR((AQ36-MIN($AQ$2:$AQ$101))/(MAX($AQ$2:$AQ$101)-MIN($AQ$2:$AQ$101))*99,30))),0))</x:f>
      </x:c>
      <x:c r="V36" s="20" t="str">
        <x:f>IF($B36="", "", ROUND(MAX(30, MIN(99, IFERROR((AR36-MIN($AR$2:$AR$101))/(MAX($AR$2:$AR$101)-MIN($AR$2:$AR$101))*99,30))),0))</x:f>
      </x:c>
      <x:c r="W36" s="20" t="str">
        <x:f>IF($B36="", "", ROUND(MAX(30, MIN(99, IFERROR((AS36-MIN($AS$2:$AS$101))/(MAX($AS$2:$AS$101)-MIN($AS$2:$AS$101))*99,30))),0))</x:f>
      </x:c>
      <x:c r="X36" s="20" t="str">
        <x:f>IF($B36="", "", ROUND(MAX(30, MIN(99, IFERROR((AT36-MIN($AT$2:$AT$101))/(MAX($AT$2:$AT$101)-MIN($AT$2:$AT$101))*99,30))),0))</x:f>
      </x:c>
      <x:c r="Y36" s="20" t="str">
        <x:f>IF($B36="","",ROUND(AVERAGE(I36:X36),0))</x:f>
      </x:c>
      <x:c r="Z36" s="20" t="str">
        <x:f>IF($B36="","",ROUND(MAX(30,MIN(99,IFS(ISNUMBER(SEARCH("PG",UPPER(SUBSTITUTE($C36,"/","-")))),84,ISNUMBER(SEARCH("SG",UPPER(SUBSTITUTE($C36,"/","-")))),76,ISNUMBER(SEARCH("SF",UPPER(SUBSTITUTE($C36,"/","-")))),68,ISNUMBER(SEARCH("PF",UPPER(SUBSTITUTE($C36,"/","-")))),55,ISNUMBER(SEARCH("C",UPPER(SUBSTITUTE($C36,"/","-")))),42,TRUE,65)+((195-IFERROR($D36,195))*0.15)+((95-IFERROR($E36,95))*0.08))),0))</x:f>
      </x:c>
      <x:c r="AA36" s="20" t="str">
        <x:f>IF($B36="","",ROUND(MAX(30,MIN(99,IFS(ISNUMBER(SEARCH("PG",UPPER(SUBSTITUTE($C36,"/","-")))),84,ISNUMBER(SEARCH("SG",UPPER(SUBSTITUTE($C36,"/","-")))),76,ISNUMBER(SEARCH("SF",UPPER(SUBSTITUTE($C36,"/","-")))),68,ISNUMBER(SEARCH("PF",UPPER(SUBSTITUTE($C36,"/","-")))),55,ISNUMBER(SEARCH("C",UPPER(SUBSTITUTE($C36,"/","-")))),42,TRUE,65)+((195-IFERROR($D36,195))*0.18)+((95-IFERROR($E36,95))*0.10))),0))</x:f>
      </x:c>
      <x:c r="AB36" s="20" t="str">
        <x:f>IF($B36="","",ROUND(MAX(30,MIN(99,IFS(ISNUMBER(SEARCH("PG",UPPER(SUBSTITUTE($C36,"/","-")))),84,ISNUMBER(SEARCH("SG",UPPER(SUBSTITUTE($C36,"/","-")))),76,ISNUMBER(SEARCH("SF",UPPER(SUBSTITUTE($C36,"/","-")))),68,ISNUMBER(SEARCH("PF",UPPER(SUBSTITUTE($C36,"/","-")))),55,ISNUMBER(SEARCH("C",UPPER(SUBSTITUTE($C36,"/","-")))),42,TRUE,65)+2+((195-IFERROR($D36,195))*0.14)+((95-IFERROR($E36,95))*0.09))),0))</x:f>
      </x:c>
      <x:c r="AC36" s="20" t="str">
        <x:f>IF($B36="","",ROUND(MAX(30,MIN(99,IFS(ISNUMBER(SEARCH("C",UPPER(SUBSTITUTE($C36,"/","-")))),92,ISNUMBER(SEARCH("PF",UPPER(SUBSTITUTE($C36,"/","-")))),82,ISNUMBER(SEARCH("SF",UPPER(SUBSTITUTE($C36,"/","-")))),64,ISNUMBER(SEARCH("SG",UPPER(SUBSTITUTE($C36,"/","-")))),48,ISNUMBER(SEARCH("PG",UPPER(SUBSTITUTE($C36,"/","-")))),36,TRUE,60)+((IFERROR($E36,95)-95)*0.45)+((IFERROR($D36,195)-195)*0.10)+((IFERROR($F36,200)-200)*0.08))),0))</x:f>
      </x:c>
      <x:c r="AD36" s="20" t="str">
        <x:f>IF($B36="","",ROUND(MAX(30,MIN(99,65+((IFERROR($F36,200)-200)*0.22)+((IFERROR($D36,195)-195)*0.08)-((IFERROR($E36,95)-95)*0.07))),0))</x:f>
      </x:c>
      <x:c r="AE36" s="15" t="n">
        <x:f>IFERROR(='입력데이터'!S36,0)*0.4+IFERROR(='입력데이터'!AP36,0)*0.4+IFERROR(='입력데이터'!AO36,0)*0.5</x:f>
        <x:v>0</x:v>
      </x:c>
      <x:c r="AF36" s="15" t="n">
        <x:f>IFERROR(='입력데이터'!S36,0)*0.5+IFERROR(='입력데이터'!P36,0)*0.8+IFERROR(='입력데이터'!AG36,0)</x:f>
        <x:v>0</x:v>
      </x:c>
      <x:c r="AG36" s="15" t="n">
        <x:f>IFERROR(='입력데이터'!AJ36,0)*8+IFERROR(IFERROR(='입력데이터'!AJ36,0)/IFERROR(='입력데이터'!AK36,0),0)*30</x:f>
        <x:v>0</x:v>
      </x:c>
      <x:c r="AH36" s="15" t="n">
        <x:f>IFERROR(='입력데이터'!AJ36,0)*6+IFERROR(='입력데이터'!AH36,0)*4</x:f>
        <x:v>0</x:v>
      </x:c>
      <x:c r="AI36" s="15" t="n">
        <x:f>IFERROR(='입력데이터'!AP36,0)*0.4+IFERROR(='입력데이터'!AE36,0)*1.5+IFERROR(='입력데이터'!Q36,0)*1.5</x:f>
        <x:v>0</x:v>
      </x:c>
      <x:c r="AJ36" s="15" t="n">
        <x:f>MAX(0,IFERROR(='입력데이터'!P36,0)-IFERROR(='입력데이터'!Q36,0)*2-IFERROR(='입력데이터'!T36,0)*3-IFERROR(='입력데이터'!Z36,0))*1.5+IFERROR(='입력데이터'!Y36,0)*0.3</x:f>
        <x:v>0</x:v>
      </x:c>
      <x:c r="AK36" s="15" t="n">
        <x:f>IFERROR(='입력데이터'!V36,0)*0.6+IFERROR(='입력데이터'!U36,0)*2+IFERROR(='입력데이터'!T36,0)*3</x:f>
        <x:v>0</x:v>
      </x:c>
      <x:c r="AL36" s="15" t="n">
        <x:f>IFERROR(='입력데이터'!AB36,0)*0.7+IFERROR(='입력데이터'!AA36,0)*1.5</x:f>
        <x:v>0</x:v>
      </x:c>
      <x:c r="AM36" s="15" t="n">
        <x:f>IFERROR(='입력데이터'!AF36,0)*5+IFERROR(IFERROR(='입력데이터'!AF36,0)/IFERROR(='입력데이터'!AL36,0),0)*3+IFERROR(='입력데이터'!AT36,0)</x:f>
        <x:v>0</x:v>
      </x:c>
      <x:c r="AN36" s="15" t="n">
        <x:f>IFERROR(='입력데이터'!AF36,0)*3+IFERROR(='입력데이터'!AG36,0)*3+IFERROR(IFERROR(='입력데이터'!AF36,0)/IFERROR(='입력데이터'!AL36,0),0)*4</x:f>
        <x:v>0</x:v>
      </x:c>
      <x:c r="AO36" s="15" t="n">
        <x:f>IFERROR(='입력데이터'!AG36,0)*12+IFERROR(='입력데이터'!AU36,0)*6</x:f>
        <x:v>0</x:v>
      </x:c>
      <x:c r="AP36" s="15" t="n">
        <x:f>IFERROR(='입력데이터'!AH36,0)*14+IFERROR(='입력데이터'!AD36,0)</x:f>
        <x:v>0</x:v>
      </x:c>
      <x:c r="AQ36" s="15" t="n">
        <x:f>IFERROR(='입력데이터'!AC36,0)*10</x:f>
        <x:v>0</x:v>
      </x:c>
      <x:c r="AR36" s="15" t="n">
        <x:f>IFERROR(='입력데이터'!AD36,0)*7+IFERROR(='입력데이터'!AH36,0)*2</x:f>
        <x:v>0</x:v>
      </x:c>
      <x:c r="AS36" s="15" t="n">
        <x:f>IFERROR(='입력데이터'!AH36,0)*8+IFERROR(='입력데이터'!AD36,0)*2+IFERROR(='입력데이터'!AI36,0)*4</x:f>
        <x:v>0</x:v>
      </x:c>
      <x:c r="AT36" s="16" t="n">
        <x:f>IFERROR(='입력데이터'!AG36,0)*8+IFERROR(='입력데이터'!AI36,0)*5+IFERROR(='입력데이터'!AU36,0)*4</x:f>
        <x:v>0</x:v>
      </x:c>
    </x:row>
    <x:row r="37">
      <x:c r="A37" s="14" t="str">
        <x:f>IF('입력데이터'!$B37="","",'입력데이터'!A37)</x:f>
      </x:c>
      <x:c r="B37" s="15" t="str">
        <x:f>IF('입력데이터'!$B37="","",'입력데이터'!B37)</x:f>
      </x:c>
      <x:c r="C37" s="15" t="str">
        <x:f>IF('입력데이터'!$B37="","",'입력데이터'!K37)</x:f>
      </x:c>
      <x:c r="D37" s="15" t="str">
        <x:f>IF('입력데이터'!$B37="","",'입력데이터'!H37)</x:f>
      </x:c>
      <x:c r="E37" s="15" t="str">
        <x:f>IF('입력데이터'!$B37="","",'입력데이터'!I37)</x:f>
      </x:c>
      <x:c r="F37" s="15" t="str">
        <x:f>IF('입력데이터'!$B37="","",'입력데이터'!J37)</x:f>
      </x:c>
      <x:c r="G37" s="15" t="str">
        <x:f>IF('입력데이터'!$B37="","",'입력데이터'!L37)</x:f>
      </x:c>
      <x:c r="H37" s="15" t="str">
        <x:f>IF('입력데이터'!$B37="","",'입력데이터'!O37)</x:f>
      </x:c>
      <x:c r="I37" s="20" t="str">
        <x:f>IF($B37="", "", ROUND(MAX(30, MIN(99, IFERROR((AE37-MIN($AE$2:$AE$101))/(MAX($AE$2:$AE$101)-MIN($AE$2:$AE$101))*99,30))),0))</x:f>
      </x:c>
      <x:c r="J37" s="20" t="str">
        <x:f>IF($B37="", "", ROUND(MAX(30, MIN(99, IFERROR((AF37-MIN($AF$2:$AF$101))/(MAX($AF$2:$AF$101)-MIN($AF$2:$AF$101))*99,30))),0))</x:f>
      </x:c>
      <x:c r="K37" s="20" t="str">
        <x:f>IF($B37="", "", ROUND(MAX(30, MIN(99, IFERROR((AG37-MIN($AG$2:$AG$101))/(MAX($AG$2:$AG$101)-MIN($AG$2:$AG$101))*99,30))),0))</x:f>
      </x:c>
      <x:c r="L37" s="20" t="str">
        <x:f>IF($B37="", "", ROUND(MAX(30, MIN(99, IFERROR((AH37-MIN($AH$2:$AH$101))/(MAX($AH$2:$AH$101)-MIN($AH$2:$AH$101))*99,30))),0))</x:f>
      </x:c>
      <x:c r="M37" s="20" t="str">
        <x:f>IF($B37="", "", ROUND(MAX(30, MIN(99, IFERROR((AI37-MIN($AI$2:$AI$101))/(MAX($AI$2:$AI$101)-MIN($AI$2:$AI$101))*99,30))),0))</x:f>
      </x:c>
      <x:c r="N37" s="20" t="str">
        <x:f>IF($B37="", "", ROUND(MAX(30, MIN(99, IFERROR((AJ37-MIN($AJ$2:$AJ$101))/(MAX($AJ$2:$AJ$101)-MIN($AJ$2:$AJ$101))*99,30))),0))</x:f>
      </x:c>
      <x:c r="O37" s="20" t="str">
        <x:f>IF($B37="", "", ROUND(MAX(30, MIN(99, IFERROR((AK37-MIN($AK$2:$AK$101))/(MAX($AK$2:$AK$101)-MIN($AK$2:$AK$101))*99,30))),0))</x:f>
      </x:c>
      <x:c r="P37" s="20" t="str">
        <x:f>IF($B37="", "", ROUND(MAX(30, MIN(99, IFERROR((AL37-MIN($AL$2:$AL$101))/(MAX($AL$2:$AL$101)-MIN($AL$2:$AL$101))*99,30))),0))</x:f>
      </x:c>
      <x:c r="Q37" s="20" t="str">
        <x:f>IF($B37="", "", ROUND(MAX(30, MIN(99, IFERROR((AM37-MIN($AM$2:$AM$101))/(MAX($AM$2:$AM$101)-MIN($AM$2:$AM$101))*99,30))),0))</x:f>
      </x:c>
      <x:c r="R37" s="20" t="str">
        <x:f>IF($B37="", "", ROUND(MAX(30, MIN(99, IFERROR((AN37-MIN($AN$2:$AN$101))/(MAX($AN$2:$AN$101)-MIN($AN$2:$AN$101))*99,30))),0))</x:f>
      </x:c>
      <x:c r="S37" s="20" t="str">
        <x:f>IF($B37="", "", ROUND(MAX(30, MIN(99, IFERROR((AO37-MIN($AO$2:$AO$101))/(MAX($AO$2:$AO$101)-MIN($AO$2:$AO$101))*99,30))),0))</x:f>
      </x:c>
      <x:c r="T37" s="20" t="str">
        <x:f>IF($B37="", "", ROUND(MAX(30, MIN(99, IFERROR((AP37-MIN($AP$2:$AP$101))/(MAX($AP$2:$AP$101)-MIN($AP$2:$AP$101))*99,30))),0))</x:f>
      </x:c>
      <x:c r="U37" s="20" t="str">
        <x:f>IF($B37="", "", ROUND(MAX(30, MIN(99, IFERROR((AQ37-MIN($AQ$2:$AQ$101))/(MAX($AQ$2:$AQ$101)-MIN($AQ$2:$AQ$101))*99,30))),0))</x:f>
      </x:c>
      <x:c r="V37" s="20" t="str">
        <x:f>IF($B37="", "", ROUND(MAX(30, MIN(99, IFERROR((AR37-MIN($AR$2:$AR$101))/(MAX($AR$2:$AR$101)-MIN($AR$2:$AR$101))*99,30))),0))</x:f>
      </x:c>
      <x:c r="W37" s="20" t="str">
        <x:f>IF($B37="", "", ROUND(MAX(30, MIN(99, IFERROR((AS37-MIN($AS$2:$AS$101))/(MAX($AS$2:$AS$101)-MIN($AS$2:$AS$101))*99,30))),0))</x:f>
      </x:c>
      <x:c r="X37" s="20" t="str">
        <x:f>IF($B37="", "", ROUND(MAX(30, MIN(99, IFERROR((AT37-MIN($AT$2:$AT$101))/(MAX($AT$2:$AT$101)-MIN($AT$2:$AT$101))*99,30))),0))</x:f>
      </x:c>
      <x:c r="Y37" s="20" t="str">
        <x:f>IF($B37="","",ROUND(AVERAGE(I37:X37),0))</x:f>
      </x:c>
      <x:c r="Z37" s="20" t="str">
        <x:f>IF($B37="","",ROUND(MAX(30,MIN(99,IFS(ISNUMBER(SEARCH("PG",UPPER(SUBSTITUTE($C37,"/","-")))),84,ISNUMBER(SEARCH("SG",UPPER(SUBSTITUTE($C37,"/","-")))),76,ISNUMBER(SEARCH("SF",UPPER(SUBSTITUTE($C37,"/","-")))),68,ISNUMBER(SEARCH("PF",UPPER(SUBSTITUTE($C37,"/","-")))),55,ISNUMBER(SEARCH("C",UPPER(SUBSTITUTE($C37,"/","-")))),42,TRUE,65)+((195-IFERROR($D37,195))*0.15)+((95-IFERROR($E37,95))*0.08))),0))</x:f>
      </x:c>
      <x:c r="AA37" s="20" t="str">
        <x:f>IF($B37="","",ROUND(MAX(30,MIN(99,IFS(ISNUMBER(SEARCH("PG",UPPER(SUBSTITUTE($C37,"/","-")))),84,ISNUMBER(SEARCH("SG",UPPER(SUBSTITUTE($C37,"/","-")))),76,ISNUMBER(SEARCH("SF",UPPER(SUBSTITUTE($C37,"/","-")))),68,ISNUMBER(SEARCH("PF",UPPER(SUBSTITUTE($C37,"/","-")))),55,ISNUMBER(SEARCH("C",UPPER(SUBSTITUTE($C37,"/","-")))),42,TRUE,65)+((195-IFERROR($D37,195))*0.18)+((95-IFERROR($E37,95))*0.10))),0))</x:f>
      </x:c>
      <x:c r="AB37" s="20" t="str">
        <x:f>IF($B37="","",ROUND(MAX(30,MIN(99,IFS(ISNUMBER(SEARCH("PG",UPPER(SUBSTITUTE($C37,"/","-")))),84,ISNUMBER(SEARCH("SG",UPPER(SUBSTITUTE($C37,"/","-")))),76,ISNUMBER(SEARCH("SF",UPPER(SUBSTITUTE($C37,"/","-")))),68,ISNUMBER(SEARCH("PF",UPPER(SUBSTITUTE($C37,"/","-")))),55,ISNUMBER(SEARCH("C",UPPER(SUBSTITUTE($C37,"/","-")))),42,TRUE,65)+2+((195-IFERROR($D37,195))*0.14)+((95-IFERROR($E37,95))*0.09))),0))</x:f>
      </x:c>
      <x:c r="AC37" s="20" t="str">
        <x:f>IF($B37="","",ROUND(MAX(30,MIN(99,IFS(ISNUMBER(SEARCH("C",UPPER(SUBSTITUTE($C37,"/","-")))),92,ISNUMBER(SEARCH("PF",UPPER(SUBSTITUTE($C37,"/","-")))),82,ISNUMBER(SEARCH("SF",UPPER(SUBSTITUTE($C37,"/","-")))),64,ISNUMBER(SEARCH("SG",UPPER(SUBSTITUTE($C37,"/","-")))),48,ISNUMBER(SEARCH("PG",UPPER(SUBSTITUTE($C37,"/","-")))),36,TRUE,60)+((IFERROR($E37,95)-95)*0.45)+((IFERROR($D37,195)-195)*0.10)+((IFERROR($F37,200)-200)*0.08))),0))</x:f>
      </x:c>
      <x:c r="AD37" s="20" t="str">
        <x:f>IF($B37="","",ROUND(MAX(30,MIN(99,65+((IFERROR($F37,200)-200)*0.22)+((IFERROR($D37,195)-195)*0.08)-((IFERROR($E37,95)-95)*0.07))),0))</x:f>
      </x:c>
      <x:c r="AE37" s="15" t="n">
        <x:f>IFERROR(='입력데이터'!S37,0)*0.4+IFERROR(='입력데이터'!AP37,0)*0.4+IFERROR(='입력데이터'!AO37,0)*0.5</x:f>
        <x:v>0</x:v>
      </x:c>
      <x:c r="AF37" s="15" t="n">
        <x:f>IFERROR(='입력데이터'!S37,0)*0.5+IFERROR(='입력데이터'!P37,0)*0.8+IFERROR(='입력데이터'!AG37,0)</x:f>
        <x:v>0</x:v>
      </x:c>
      <x:c r="AG37" s="15" t="n">
        <x:f>IFERROR(='입력데이터'!AJ37,0)*8+IFERROR(IFERROR(='입력데이터'!AJ37,0)/IFERROR(='입력데이터'!AK37,0),0)*30</x:f>
        <x:v>0</x:v>
      </x:c>
      <x:c r="AH37" s="15" t="n">
        <x:f>IFERROR(='입력데이터'!AJ37,0)*6+IFERROR(='입력데이터'!AH37,0)*4</x:f>
        <x:v>0</x:v>
      </x:c>
      <x:c r="AI37" s="15" t="n">
        <x:f>IFERROR(='입력데이터'!AP37,0)*0.4+IFERROR(='입력데이터'!AE37,0)*1.5+IFERROR(='입력데이터'!Q37,0)*1.5</x:f>
        <x:v>0</x:v>
      </x:c>
      <x:c r="AJ37" s="15" t="n">
        <x:f>MAX(0,IFERROR(='입력데이터'!P37,0)-IFERROR(='입력데이터'!Q37,0)*2-IFERROR(='입력데이터'!T37,0)*3-IFERROR(='입력데이터'!Z37,0))*1.5+IFERROR(='입력데이터'!Y37,0)*0.3</x:f>
        <x:v>0</x:v>
      </x:c>
      <x:c r="AK37" s="15" t="n">
        <x:f>IFERROR(='입력데이터'!V37,0)*0.6+IFERROR(='입력데이터'!U37,0)*2+IFERROR(='입력데이터'!T37,0)*3</x:f>
        <x:v>0</x:v>
      </x:c>
      <x:c r="AL37" s="15" t="n">
        <x:f>IFERROR(='입력데이터'!AB37,0)*0.7+IFERROR(='입력데이터'!AA37,0)*1.5</x:f>
        <x:v>0</x:v>
      </x:c>
      <x:c r="AM37" s="15" t="n">
        <x:f>IFERROR(='입력데이터'!AF37,0)*5+IFERROR(IFERROR(='입력데이터'!AF37,0)/IFERROR(='입력데이터'!AL37,0),0)*3+IFERROR(='입력데이터'!AT37,0)</x:f>
        <x:v>0</x:v>
      </x:c>
      <x:c r="AN37" s="15" t="n">
        <x:f>IFERROR(='입력데이터'!AF37,0)*3+IFERROR(='입력데이터'!AG37,0)*3+IFERROR(IFERROR(='입력데이터'!AF37,0)/IFERROR(='입력데이터'!AL37,0),0)*4</x:f>
        <x:v>0</x:v>
      </x:c>
      <x:c r="AO37" s="15" t="n">
        <x:f>IFERROR(='입력데이터'!AG37,0)*12+IFERROR(='입력데이터'!AU37,0)*6</x:f>
        <x:v>0</x:v>
      </x:c>
      <x:c r="AP37" s="15" t="n">
        <x:f>IFERROR(='입력데이터'!AH37,0)*14+IFERROR(='입력데이터'!AD37,0)</x:f>
        <x:v>0</x:v>
      </x:c>
      <x:c r="AQ37" s="15" t="n">
        <x:f>IFERROR(='입력데이터'!AC37,0)*10</x:f>
        <x:v>0</x:v>
      </x:c>
      <x:c r="AR37" s="15" t="n">
        <x:f>IFERROR(='입력데이터'!AD37,0)*7+IFERROR(='입력데이터'!AH37,0)*2</x:f>
        <x:v>0</x:v>
      </x:c>
      <x:c r="AS37" s="15" t="n">
        <x:f>IFERROR(='입력데이터'!AH37,0)*8+IFERROR(='입력데이터'!AD37,0)*2+IFERROR(='입력데이터'!AI37,0)*4</x:f>
        <x:v>0</x:v>
      </x:c>
      <x:c r="AT37" s="16" t="n">
        <x:f>IFERROR(='입력데이터'!AG37,0)*8+IFERROR(='입력데이터'!AI37,0)*5+IFERROR(='입력데이터'!AU37,0)*4</x:f>
        <x:v>0</x:v>
      </x:c>
    </x:row>
    <x:row r="38">
      <x:c r="A38" s="14" t="str">
        <x:f>IF('입력데이터'!$B38="","",'입력데이터'!A38)</x:f>
      </x:c>
      <x:c r="B38" s="15" t="str">
        <x:f>IF('입력데이터'!$B38="","",'입력데이터'!B38)</x:f>
      </x:c>
      <x:c r="C38" s="15" t="str">
        <x:f>IF('입력데이터'!$B38="","",'입력데이터'!K38)</x:f>
      </x:c>
      <x:c r="D38" s="15" t="str">
        <x:f>IF('입력데이터'!$B38="","",'입력데이터'!H38)</x:f>
      </x:c>
      <x:c r="E38" s="15" t="str">
        <x:f>IF('입력데이터'!$B38="","",'입력데이터'!I38)</x:f>
      </x:c>
      <x:c r="F38" s="15" t="str">
        <x:f>IF('입력데이터'!$B38="","",'입력데이터'!J38)</x:f>
      </x:c>
      <x:c r="G38" s="15" t="str">
        <x:f>IF('입력데이터'!$B38="","",'입력데이터'!L38)</x:f>
      </x:c>
      <x:c r="H38" s="15" t="str">
        <x:f>IF('입력데이터'!$B38="","",'입력데이터'!O38)</x:f>
      </x:c>
      <x:c r="I38" s="20" t="str">
        <x:f>IF($B38="", "", ROUND(MAX(30, MIN(99, IFERROR((AE38-MIN($AE$2:$AE$101))/(MAX($AE$2:$AE$101)-MIN($AE$2:$AE$101))*99,30))),0))</x:f>
      </x:c>
      <x:c r="J38" s="20" t="str">
        <x:f>IF($B38="", "", ROUND(MAX(30, MIN(99, IFERROR((AF38-MIN($AF$2:$AF$101))/(MAX($AF$2:$AF$101)-MIN($AF$2:$AF$101))*99,30))),0))</x:f>
      </x:c>
      <x:c r="K38" s="20" t="str">
        <x:f>IF($B38="", "", ROUND(MAX(30, MIN(99, IFERROR((AG38-MIN($AG$2:$AG$101))/(MAX($AG$2:$AG$101)-MIN($AG$2:$AG$101))*99,30))),0))</x:f>
      </x:c>
      <x:c r="L38" s="20" t="str">
        <x:f>IF($B38="", "", ROUND(MAX(30, MIN(99, IFERROR((AH38-MIN($AH$2:$AH$101))/(MAX($AH$2:$AH$101)-MIN($AH$2:$AH$101))*99,30))),0))</x:f>
      </x:c>
      <x:c r="M38" s="20" t="str">
        <x:f>IF($B38="", "", ROUND(MAX(30, MIN(99, IFERROR((AI38-MIN($AI$2:$AI$101))/(MAX($AI$2:$AI$101)-MIN($AI$2:$AI$101))*99,30))),0))</x:f>
      </x:c>
      <x:c r="N38" s="20" t="str">
        <x:f>IF($B38="", "", ROUND(MAX(30, MIN(99, IFERROR((AJ38-MIN($AJ$2:$AJ$101))/(MAX($AJ$2:$AJ$101)-MIN($AJ$2:$AJ$101))*99,30))),0))</x:f>
      </x:c>
      <x:c r="O38" s="20" t="str">
        <x:f>IF($B38="", "", ROUND(MAX(30, MIN(99, IFERROR((AK38-MIN($AK$2:$AK$101))/(MAX($AK$2:$AK$101)-MIN($AK$2:$AK$101))*99,30))),0))</x:f>
      </x:c>
      <x:c r="P38" s="20" t="str">
        <x:f>IF($B38="", "", ROUND(MAX(30, MIN(99, IFERROR((AL38-MIN($AL$2:$AL$101))/(MAX($AL$2:$AL$101)-MIN($AL$2:$AL$101))*99,30))),0))</x:f>
      </x:c>
      <x:c r="Q38" s="20" t="str">
        <x:f>IF($B38="", "", ROUND(MAX(30, MIN(99, IFERROR((AM38-MIN($AM$2:$AM$101))/(MAX($AM$2:$AM$101)-MIN($AM$2:$AM$101))*99,30))),0))</x:f>
      </x:c>
      <x:c r="R38" s="20" t="str">
        <x:f>IF($B38="", "", ROUND(MAX(30, MIN(99, IFERROR((AN38-MIN($AN$2:$AN$101))/(MAX($AN$2:$AN$101)-MIN($AN$2:$AN$101))*99,30))),0))</x:f>
      </x:c>
      <x:c r="S38" s="20" t="str">
        <x:f>IF($B38="", "", ROUND(MAX(30, MIN(99, IFERROR((AO38-MIN($AO$2:$AO$101))/(MAX($AO$2:$AO$101)-MIN($AO$2:$AO$101))*99,30))),0))</x:f>
      </x:c>
      <x:c r="T38" s="20" t="str">
        <x:f>IF($B38="", "", ROUND(MAX(30, MIN(99, IFERROR((AP38-MIN($AP$2:$AP$101))/(MAX($AP$2:$AP$101)-MIN($AP$2:$AP$101))*99,30))),0))</x:f>
      </x:c>
      <x:c r="U38" s="20" t="str">
        <x:f>IF($B38="", "", ROUND(MAX(30, MIN(99, IFERROR((AQ38-MIN($AQ$2:$AQ$101))/(MAX($AQ$2:$AQ$101)-MIN($AQ$2:$AQ$101))*99,30))),0))</x:f>
      </x:c>
      <x:c r="V38" s="20" t="str">
        <x:f>IF($B38="", "", ROUND(MAX(30, MIN(99, IFERROR((AR38-MIN($AR$2:$AR$101))/(MAX($AR$2:$AR$101)-MIN($AR$2:$AR$101))*99,30))),0))</x:f>
      </x:c>
      <x:c r="W38" s="20" t="str">
        <x:f>IF($B38="", "", ROUND(MAX(30, MIN(99, IFERROR((AS38-MIN($AS$2:$AS$101))/(MAX($AS$2:$AS$101)-MIN($AS$2:$AS$101))*99,30))),0))</x:f>
      </x:c>
      <x:c r="X38" s="20" t="str">
        <x:f>IF($B38="", "", ROUND(MAX(30, MIN(99, IFERROR((AT38-MIN($AT$2:$AT$101))/(MAX($AT$2:$AT$101)-MIN($AT$2:$AT$101))*99,30))),0))</x:f>
      </x:c>
      <x:c r="Y38" s="20" t="str">
        <x:f>IF($B38="","",ROUND(AVERAGE(I38:X38),0))</x:f>
      </x:c>
      <x:c r="Z38" s="20" t="str">
        <x:f>IF($B38="","",ROUND(MAX(30,MIN(99,IFS(ISNUMBER(SEARCH("PG",UPPER(SUBSTITUTE($C38,"/","-")))),84,ISNUMBER(SEARCH("SG",UPPER(SUBSTITUTE($C38,"/","-")))),76,ISNUMBER(SEARCH("SF",UPPER(SUBSTITUTE($C38,"/","-")))),68,ISNUMBER(SEARCH("PF",UPPER(SUBSTITUTE($C38,"/","-")))),55,ISNUMBER(SEARCH("C",UPPER(SUBSTITUTE($C38,"/","-")))),42,TRUE,65)+((195-IFERROR($D38,195))*0.15)+((95-IFERROR($E38,95))*0.08))),0))</x:f>
      </x:c>
      <x:c r="AA38" s="20" t="str">
        <x:f>IF($B38="","",ROUND(MAX(30,MIN(99,IFS(ISNUMBER(SEARCH("PG",UPPER(SUBSTITUTE($C38,"/","-")))),84,ISNUMBER(SEARCH("SG",UPPER(SUBSTITUTE($C38,"/","-")))),76,ISNUMBER(SEARCH("SF",UPPER(SUBSTITUTE($C38,"/","-")))),68,ISNUMBER(SEARCH("PF",UPPER(SUBSTITUTE($C38,"/","-")))),55,ISNUMBER(SEARCH("C",UPPER(SUBSTITUTE($C38,"/","-")))),42,TRUE,65)+((195-IFERROR($D38,195))*0.18)+((95-IFERROR($E38,95))*0.10))),0))</x:f>
      </x:c>
      <x:c r="AB38" s="20" t="str">
        <x:f>IF($B38="","",ROUND(MAX(30,MIN(99,IFS(ISNUMBER(SEARCH("PG",UPPER(SUBSTITUTE($C38,"/","-")))),84,ISNUMBER(SEARCH("SG",UPPER(SUBSTITUTE($C38,"/","-")))),76,ISNUMBER(SEARCH("SF",UPPER(SUBSTITUTE($C38,"/","-")))),68,ISNUMBER(SEARCH("PF",UPPER(SUBSTITUTE($C38,"/","-")))),55,ISNUMBER(SEARCH("C",UPPER(SUBSTITUTE($C38,"/","-")))),42,TRUE,65)+2+((195-IFERROR($D38,195))*0.14)+((95-IFERROR($E38,95))*0.09))),0))</x:f>
      </x:c>
      <x:c r="AC38" s="20" t="str">
        <x:f>IF($B38="","",ROUND(MAX(30,MIN(99,IFS(ISNUMBER(SEARCH("C",UPPER(SUBSTITUTE($C38,"/","-")))),92,ISNUMBER(SEARCH("PF",UPPER(SUBSTITUTE($C38,"/","-")))),82,ISNUMBER(SEARCH("SF",UPPER(SUBSTITUTE($C38,"/","-")))),64,ISNUMBER(SEARCH("SG",UPPER(SUBSTITUTE($C38,"/","-")))),48,ISNUMBER(SEARCH("PG",UPPER(SUBSTITUTE($C38,"/","-")))),36,TRUE,60)+((IFERROR($E38,95)-95)*0.45)+((IFERROR($D38,195)-195)*0.10)+((IFERROR($F38,200)-200)*0.08))),0))</x:f>
      </x:c>
      <x:c r="AD38" s="20" t="str">
        <x:f>IF($B38="","",ROUND(MAX(30,MIN(99,65+((IFERROR($F38,200)-200)*0.22)+((IFERROR($D38,195)-195)*0.08)-((IFERROR($E38,95)-95)*0.07))),0))</x:f>
      </x:c>
      <x:c r="AE38" s="15" t="n">
        <x:f>IFERROR(='입력데이터'!S38,0)*0.4+IFERROR(='입력데이터'!AP38,0)*0.4+IFERROR(='입력데이터'!AO38,0)*0.5</x:f>
        <x:v>0</x:v>
      </x:c>
      <x:c r="AF38" s="15" t="n">
        <x:f>IFERROR(='입력데이터'!S38,0)*0.5+IFERROR(='입력데이터'!P38,0)*0.8+IFERROR(='입력데이터'!AG38,0)</x:f>
        <x:v>0</x:v>
      </x:c>
      <x:c r="AG38" s="15" t="n">
        <x:f>IFERROR(='입력데이터'!AJ38,0)*8+IFERROR(IFERROR(='입력데이터'!AJ38,0)/IFERROR(='입력데이터'!AK38,0),0)*30</x:f>
        <x:v>0</x:v>
      </x:c>
      <x:c r="AH38" s="15" t="n">
        <x:f>IFERROR(='입력데이터'!AJ38,0)*6+IFERROR(='입력데이터'!AH38,0)*4</x:f>
        <x:v>0</x:v>
      </x:c>
      <x:c r="AI38" s="15" t="n">
        <x:f>IFERROR(='입력데이터'!AP38,0)*0.4+IFERROR(='입력데이터'!AE38,0)*1.5+IFERROR(='입력데이터'!Q38,0)*1.5</x:f>
        <x:v>0</x:v>
      </x:c>
      <x:c r="AJ38" s="15" t="n">
        <x:f>MAX(0,IFERROR(='입력데이터'!P38,0)-IFERROR(='입력데이터'!Q38,0)*2-IFERROR(='입력데이터'!T38,0)*3-IFERROR(='입력데이터'!Z38,0))*1.5+IFERROR(='입력데이터'!Y38,0)*0.3</x:f>
        <x:v>0</x:v>
      </x:c>
      <x:c r="AK38" s="15" t="n">
        <x:f>IFERROR(='입력데이터'!V38,0)*0.6+IFERROR(='입력데이터'!U38,0)*2+IFERROR(='입력데이터'!T38,0)*3</x:f>
        <x:v>0</x:v>
      </x:c>
      <x:c r="AL38" s="15" t="n">
        <x:f>IFERROR(='입력데이터'!AB38,0)*0.7+IFERROR(='입력데이터'!AA38,0)*1.5</x:f>
        <x:v>0</x:v>
      </x:c>
      <x:c r="AM38" s="15" t="n">
        <x:f>IFERROR(='입력데이터'!AF38,0)*5+IFERROR(IFERROR(='입력데이터'!AF38,0)/IFERROR(='입력데이터'!AL38,0),0)*3+IFERROR(='입력데이터'!AT38,0)</x:f>
        <x:v>0</x:v>
      </x:c>
      <x:c r="AN38" s="15" t="n">
        <x:f>IFERROR(='입력데이터'!AF38,0)*3+IFERROR(='입력데이터'!AG38,0)*3+IFERROR(IFERROR(='입력데이터'!AF38,0)/IFERROR(='입력데이터'!AL38,0),0)*4</x:f>
        <x:v>0</x:v>
      </x:c>
      <x:c r="AO38" s="15" t="n">
        <x:f>IFERROR(='입력데이터'!AG38,0)*12+IFERROR(='입력데이터'!AU38,0)*6</x:f>
        <x:v>0</x:v>
      </x:c>
      <x:c r="AP38" s="15" t="n">
        <x:f>IFERROR(='입력데이터'!AH38,0)*14+IFERROR(='입력데이터'!AD38,0)</x:f>
        <x:v>0</x:v>
      </x:c>
      <x:c r="AQ38" s="15" t="n">
        <x:f>IFERROR(='입력데이터'!AC38,0)*10</x:f>
        <x:v>0</x:v>
      </x:c>
      <x:c r="AR38" s="15" t="n">
        <x:f>IFERROR(='입력데이터'!AD38,0)*7+IFERROR(='입력데이터'!AH38,0)*2</x:f>
        <x:v>0</x:v>
      </x:c>
      <x:c r="AS38" s="15" t="n">
        <x:f>IFERROR(='입력데이터'!AH38,0)*8+IFERROR(='입력데이터'!AD38,0)*2+IFERROR(='입력데이터'!AI38,0)*4</x:f>
        <x:v>0</x:v>
      </x:c>
      <x:c r="AT38" s="16" t="n">
        <x:f>IFERROR(='입력데이터'!AG38,0)*8+IFERROR(='입력데이터'!AI38,0)*5+IFERROR(='입력데이터'!AU38,0)*4</x:f>
        <x:v>0</x:v>
      </x:c>
    </x:row>
    <x:row r="39">
      <x:c r="A39" s="14" t="str">
        <x:f>IF('입력데이터'!$B39="","",'입력데이터'!A39)</x:f>
      </x:c>
      <x:c r="B39" s="15" t="str">
        <x:f>IF('입력데이터'!$B39="","",'입력데이터'!B39)</x:f>
      </x:c>
      <x:c r="C39" s="15" t="str">
        <x:f>IF('입력데이터'!$B39="","",'입력데이터'!K39)</x:f>
      </x:c>
      <x:c r="D39" s="15" t="str">
        <x:f>IF('입력데이터'!$B39="","",'입력데이터'!H39)</x:f>
      </x:c>
      <x:c r="E39" s="15" t="str">
        <x:f>IF('입력데이터'!$B39="","",'입력데이터'!I39)</x:f>
      </x:c>
      <x:c r="F39" s="15" t="str">
        <x:f>IF('입력데이터'!$B39="","",'입력데이터'!J39)</x:f>
      </x:c>
      <x:c r="G39" s="15" t="str">
        <x:f>IF('입력데이터'!$B39="","",'입력데이터'!L39)</x:f>
      </x:c>
      <x:c r="H39" s="15" t="str">
        <x:f>IF('입력데이터'!$B39="","",'입력데이터'!O39)</x:f>
      </x:c>
      <x:c r="I39" s="20" t="str">
        <x:f>IF($B39="", "", ROUND(MAX(30, MIN(99, IFERROR((AE39-MIN($AE$2:$AE$101))/(MAX($AE$2:$AE$101)-MIN($AE$2:$AE$101))*99,30))),0))</x:f>
      </x:c>
      <x:c r="J39" s="20" t="str">
        <x:f>IF($B39="", "", ROUND(MAX(30, MIN(99, IFERROR((AF39-MIN($AF$2:$AF$101))/(MAX($AF$2:$AF$101)-MIN($AF$2:$AF$101))*99,30))),0))</x:f>
      </x:c>
      <x:c r="K39" s="20" t="str">
        <x:f>IF($B39="", "", ROUND(MAX(30, MIN(99, IFERROR((AG39-MIN($AG$2:$AG$101))/(MAX($AG$2:$AG$101)-MIN($AG$2:$AG$101))*99,30))),0))</x:f>
      </x:c>
      <x:c r="L39" s="20" t="str">
        <x:f>IF($B39="", "", ROUND(MAX(30, MIN(99, IFERROR((AH39-MIN($AH$2:$AH$101))/(MAX($AH$2:$AH$101)-MIN($AH$2:$AH$101))*99,30))),0))</x:f>
      </x:c>
      <x:c r="M39" s="20" t="str">
        <x:f>IF($B39="", "", ROUND(MAX(30, MIN(99, IFERROR((AI39-MIN($AI$2:$AI$101))/(MAX($AI$2:$AI$101)-MIN($AI$2:$AI$101))*99,30))),0))</x:f>
      </x:c>
      <x:c r="N39" s="20" t="str">
        <x:f>IF($B39="", "", ROUND(MAX(30, MIN(99, IFERROR((AJ39-MIN($AJ$2:$AJ$101))/(MAX($AJ$2:$AJ$101)-MIN($AJ$2:$AJ$101))*99,30))),0))</x:f>
      </x:c>
      <x:c r="O39" s="20" t="str">
        <x:f>IF($B39="", "", ROUND(MAX(30, MIN(99, IFERROR((AK39-MIN($AK$2:$AK$101))/(MAX($AK$2:$AK$101)-MIN($AK$2:$AK$101))*99,30))),0))</x:f>
      </x:c>
      <x:c r="P39" s="20" t="str">
        <x:f>IF($B39="", "", ROUND(MAX(30, MIN(99, IFERROR((AL39-MIN($AL$2:$AL$101))/(MAX($AL$2:$AL$101)-MIN($AL$2:$AL$101))*99,30))),0))</x:f>
      </x:c>
      <x:c r="Q39" s="20" t="str">
        <x:f>IF($B39="", "", ROUND(MAX(30, MIN(99, IFERROR((AM39-MIN($AM$2:$AM$101))/(MAX($AM$2:$AM$101)-MIN($AM$2:$AM$101))*99,30))),0))</x:f>
      </x:c>
      <x:c r="R39" s="20" t="str">
        <x:f>IF($B39="", "", ROUND(MAX(30, MIN(99, IFERROR((AN39-MIN($AN$2:$AN$101))/(MAX($AN$2:$AN$101)-MIN($AN$2:$AN$101))*99,30))),0))</x:f>
      </x:c>
      <x:c r="S39" s="20" t="str">
        <x:f>IF($B39="", "", ROUND(MAX(30, MIN(99, IFERROR((AO39-MIN($AO$2:$AO$101))/(MAX($AO$2:$AO$101)-MIN($AO$2:$AO$101))*99,30))),0))</x:f>
      </x:c>
      <x:c r="T39" s="20" t="str">
        <x:f>IF($B39="", "", ROUND(MAX(30, MIN(99, IFERROR((AP39-MIN($AP$2:$AP$101))/(MAX($AP$2:$AP$101)-MIN($AP$2:$AP$101))*99,30))),0))</x:f>
      </x:c>
      <x:c r="U39" s="20" t="str">
        <x:f>IF($B39="", "", ROUND(MAX(30, MIN(99, IFERROR((AQ39-MIN($AQ$2:$AQ$101))/(MAX($AQ$2:$AQ$101)-MIN($AQ$2:$AQ$101))*99,30))),0))</x:f>
      </x:c>
      <x:c r="V39" s="20" t="str">
        <x:f>IF($B39="", "", ROUND(MAX(30, MIN(99, IFERROR((AR39-MIN($AR$2:$AR$101))/(MAX($AR$2:$AR$101)-MIN($AR$2:$AR$101))*99,30))),0))</x:f>
      </x:c>
      <x:c r="W39" s="20" t="str">
        <x:f>IF($B39="", "", ROUND(MAX(30, MIN(99, IFERROR((AS39-MIN($AS$2:$AS$101))/(MAX($AS$2:$AS$101)-MIN($AS$2:$AS$101))*99,30))),0))</x:f>
      </x:c>
      <x:c r="X39" s="20" t="str">
        <x:f>IF($B39="", "", ROUND(MAX(30, MIN(99, IFERROR((AT39-MIN($AT$2:$AT$101))/(MAX($AT$2:$AT$101)-MIN($AT$2:$AT$101))*99,30))),0))</x:f>
      </x:c>
      <x:c r="Y39" s="20" t="str">
        <x:f>IF($B39="","",ROUND(AVERAGE(I39:X39),0))</x:f>
      </x:c>
      <x:c r="Z39" s="20" t="str">
        <x:f>IF($B39="","",ROUND(MAX(30,MIN(99,IFS(ISNUMBER(SEARCH("PG",UPPER(SUBSTITUTE($C39,"/","-")))),84,ISNUMBER(SEARCH("SG",UPPER(SUBSTITUTE($C39,"/","-")))),76,ISNUMBER(SEARCH("SF",UPPER(SUBSTITUTE($C39,"/","-")))),68,ISNUMBER(SEARCH("PF",UPPER(SUBSTITUTE($C39,"/","-")))),55,ISNUMBER(SEARCH("C",UPPER(SUBSTITUTE($C39,"/","-")))),42,TRUE,65)+((195-IFERROR($D39,195))*0.15)+((95-IFERROR($E39,95))*0.08))),0))</x:f>
      </x:c>
      <x:c r="AA39" s="20" t="str">
        <x:f>IF($B39="","",ROUND(MAX(30,MIN(99,IFS(ISNUMBER(SEARCH("PG",UPPER(SUBSTITUTE($C39,"/","-")))),84,ISNUMBER(SEARCH("SG",UPPER(SUBSTITUTE($C39,"/","-")))),76,ISNUMBER(SEARCH("SF",UPPER(SUBSTITUTE($C39,"/","-")))),68,ISNUMBER(SEARCH("PF",UPPER(SUBSTITUTE($C39,"/","-")))),55,ISNUMBER(SEARCH("C",UPPER(SUBSTITUTE($C39,"/","-")))),42,TRUE,65)+((195-IFERROR($D39,195))*0.18)+((95-IFERROR($E39,95))*0.10))),0))</x:f>
      </x:c>
      <x:c r="AB39" s="20" t="str">
        <x:f>IF($B39="","",ROUND(MAX(30,MIN(99,IFS(ISNUMBER(SEARCH("PG",UPPER(SUBSTITUTE($C39,"/","-")))),84,ISNUMBER(SEARCH("SG",UPPER(SUBSTITUTE($C39,"/","-")))),76,ISNUMBER(SEARCH("SF",UPPER(SUBSTITUTE($C39,"/","-")))),68,ISNUMBER(SEARCH("PF",UPPER(SUBSTITUTE($C39,"/","-")))),55,ISNUMBER(SEARCH("C",UPPER(SUBSTITUTE($C39,"/","-")))),42,TRUE,65)+2+((195-IFERROR($D39,195))*0.14)+((95-IFERROR($E39,95))*0.09))),0))</x:f>
      </x:c>
      <x:c r="AC39" s="20" t="str">
        <x:f>IF($B39="","",ROUND(MAX(30,MIN(99,IFS(ISNUMBER(SEARCH("C",UPPER(SUBSTITUTE($C39,"/","-")))),92,ISNUMBER(SEARCH("PF",UPPER(SUBSTITUTE($C39,"/","-")))),82,ISNUMBER(SEARCH("SF",UPPER(SUBSTITUTE($C39,"/","-")))),64,ISNUMBER(SEARCH("SG",UPPER(SUBSTITUTE($C39,"/","-")))),48,ISNUMBER(SEARCH("PG",UPPER(SUBSTITUTE($C39,"/","-")))),36,TRUE,60)+((IFERROR($E39,95)-95)*0.45)+((IFERROR($D39,195)-195)*0.10)+((IFERROR($F39,200)-200)*0.08))),0))</x:f>
      </x:c>
      <x:c r="AD39" s="20" t="str">
        <x:f>IF($B39="","",ROUND(MAX(30,MIN(99,65+((IFERROR($F39,200)-200)*0.22)+((IFERROR($D39,195)-195)*0.08)-((IFERROR($E39,95)-95)*0.07))),0))</x:f>
      </x:c>
      <x:c r="AE39" s="15" t="n">
        <x:f>IFERROR(='입력데이터'!S39,0)*0.4+IFERROR(='입력데이터'!AP39,0)*0.4+IFERROR(='입력데이터'!AO39,0)*0.5</x:f>
        <x:v>0</x:v>
      </x:c>
      <x:c r="AF39" s="15" t="n">
        <x:f>IFERROR(='입력데이터'!S39,0)*0.5+IFERROR(='입력데이터'!P39,0)*0.8+IFERROR(='입력데이터'!AG39,0)</x:f>
        <x:v>0</x:v>
      </x:c>
      <x:c r="AG39" s="15" t="n">
        <x:f>IFERROR(='입력데이터'!AJ39,0)*8+IFERROR(IFERROR(='입력데이터'!AJ39,0)/IFERROR(='입력데이터'!AK39,0),0)*30</x:f>
        <x:v>0</x:v>
      </x:c>
      <x:c r="AH39" s="15" t="n">
        <x:f>IFERROR(='입력데이터'!AJ39,0)*6+IFERROR(='입력데이터'!AH39,0)*4</x:f>
        <x:v>0</x:v>
      </x:c>
      <x:c r="AI39" s="15" t="n">
        <x:f>IFERROR(='입력데이터'!AP39,0)*0.4+IFERROR(='입력데이터'!AE39,0)*1.5+IFERROR(='입력데이터'!Q39,0)*1.5</x:f>
        <x:v>0</x:v>
      </x:c>
      <x:c r="AJ39" s="15" t="n">
        <x:f>MAX(0,IFERROR(='입력데이터'!P39,0)-IFERROR(='입력데이터'!Q39,0)*2-IFERROR(='입력데이터'!T39,0)*3-IFERROR(='입력데이터'!Z39,0))*1.5+IFERROR(='입력데이터'!Y39,0)*0.3</x:f>
        <x:v>0</x:v>
      </x:c>
      <x:c r="AK39" s="15" t="n">
        <x:f>IFERROR(='입력데이터'!V39,0)*0.6+IFERROR(='입력데이터'!U39,0)*2+IFERROR(='입력데이터'!T39,0)*3</x:f>
        <x:v>0</x:v>
      </x:c>
      <x:c r="AL39" s="15" t="n">
        <x:f>IFERROR(='입력데이터'!AB39,0)*0.7+IFERROR(='입력데이터'!AA39,0)*1.5</x:f>
        <x:v>0</x:v>
      </x:c>
      <x:c r="AM39" s="15" t="n">
        <x:f>IFERROR(='입력데이터'!AF39,0)*5+IFERROR(IFERROR(='입력데이터'!AF39,0)/IFERROR(='입력데이터'!AL39,0),0)*3+IFERROR(='입력데이터'!AT39,0)</x:f>
        <x:v>0</x:v>
      </x:c>
      <x:c r="AN39" s="15" t="n">
        <x:f>IFERROR(='입력데이터'!AF39,0)*3+IFERROR(='입력데이터'!AG39,0)*3+IFERROR(IFERROR(='입력데이터'!AF39,0)/IFERROR(='입력데이터'!AL39,0),0)*4</x:f>
        <x:v>0</x:v>
      </x:c>
      <x:c r="AO39" s="15" t="n">
        <x:f>IFERROR(='입력데이터'!AG39,0)*12+IFERROR(='입력데이터'!AU39,0)*6</x:f>
        <x:v>0</x:v>
      </x:c>
      <x:c r="AP39" s="15" t="n">
        <x:f>IFERROR(='입력데이터'!AH39,0)*14+IFERROR(='입력데이터'!AD39,0)</x:f>
        <x:v>0</x:v>
      </x:c>
      <x:c r="AQ39" s="15" t="n">
        <x:f>IFERROR(='입력데이터'!AC39,0)*10</x:f>
        <x:v>0</x:v>
      </x:c>
      <x:c r="AR39" s="15" t="n">
        <x:f>IFERROR(='입력데이터'!AD39,0)*7+IFERROR(='입력데이터'!AH39,0)*2</x:f>
        <x:v>0</x:v>
      </x:c>
      <x:c r="AS39" s="15" t="n">
        <x:f>IFERROR(='입력데이터'!AH39,0)*8+IFERROR(='입력데이터'!AD39,0)*2+IFERROR(='입력데이터'!AI39,0)*4</x:f>
        <x:v>0</x:v>
      </x:c>
      <x:c r="AT39" s="16" t="n">
        <x:f>IFERROR(='입력데이터'!AG39,0)*8+IFERROR(='입력데이터'!AI39,0)*5+IFERROR(='입력데이터'!AU39,0)*4</x:f>
        <x:v>0</x:v>
      </x:c>
    </x:row>
    <x:row r="40">
      <x:c r="A40" s="14" t="str">
        <x:f>IF('입력데이터'!$B40="","",'입력데이터'!A40)</x:f>
      </x:c>
      <x:c r="B40" s="15" t="str">
        <x:f>IF('입력데이터'!$B40="","",'입력데이터'!B40)</x:f>
      </x:c>
      <x:c r="C40" s="15" t="str">
        <x:f>IF('입력데이터'!$B40="","",'입력데이터'!K40)</x:f>
      </x:c>
      <x:c r="D40" s="15" t="str">
        <x:f>IF('입력데이터'!$B40="","",'입력데이터'!H40)</x:f>
      </x:c>
      <x:c r="E40" s="15" t="str">
        <x:f>IF('입력데이터'!$B40="","",'입력데이터'!I40)</x:f>
      </x:c>
      <x:c r="F40" s="15" t="str">
        <x:f>IF('입력데이터'!$B40="","",'입력데이터'!J40)</x:f>
      </x:c>
      <x:c r="G40" s="15" t="str">
        <x:f>IF('입력데이터'!$B40="","",'입력데이터'!L40)</x:f>
      </x:c>
      <x:c r="H40" s="15" t="str">
        <x:f>IF('입력데이터'!$B40="","",'입력데이터'!O40)</x:f>
      </x:c>
      <x:c r="I40" s="20" t="str">
        <x:f>IF($B40="", "", ROUND(MAX(30, MIN(99, IFERROR((AE40-MIN($AE$2:$AE$101))/(MAX($AE$2:$AE$101)-MIN($AE$2:$AE$101))*99,30))),0))</x:f>
      </x:c>
      <x:c r="J40" s="20" t="str">
        <x:f>IF($B40="", "", ROUND(MAX(30, MIN(99, IFERROR((AF40-MIN($AF$2:$AF$101))/(MAX($AF$2:$AF$101)-MIN($AF$2:$AF$101))*99,30))),0))</x:f>
      </x:c>
      <x:c r="K40" s="20" t="str">
        <x:f>IF($B40="", "", ROUND(MAX(30, MIN(99, IFERROR((AG40-MIN($AG$2:$AG$101))/(MAX($AG$2:$AG$101)-MIN($AG$2:$AG$101))*99,30))),0))</x:f>
      </x:c>
      <x:c r="L40" s="20" t="str">
        <x:f>IF($B40="", "", ROUND(MAX(30, MIN(99, IFERROR((AH40-MIN($AH$2:$AH$101))/(MAX($AH$2:$AH$101)-MIN($AH$2:$AH$101))*99,30))),0))</x:f>
      </x:c>
      <x:c r="M40" s="20" t="str">
        <x:f>IF($B40="", "", ROUND(MAX(30, MIN(99, IFERROR((AI40-MIN($AI$2:$AI$101))/(MAX($AI$2:$AI$101)-MIN($AI$2:$AI$101))*99,30))),0))</x:f>
      </x:c>
      <x:c r="N40" s="20" t="str">
        <x:f>IF($B40="", "", ROUND(MAX(30, MIN(99, IFERROR((AJ40-MIN($AJ$2:$AJ$101))/(MAX($AJ$2:$AJ$101)-MIN($AJ$2:$AJ$101))*99,30))),0))</x:f>
      </x:c>
      <x:c r="O40" s="20" t="str">
        <x:f>IF($B40="", "", ROUND(MAX(30, MIN(99, IFERROR((AK40-MIN($AK$2:$AK$101))/(MAX($AK$2:$AK$101)-MIN($AK$2:$AK$101))*99,30))),0))</x:f>
      </x:c>
      <x:c r="P40" s="20" t="str">
        <x:f>IF($B40="", "", ROUND(MAX(30, MIN(99, IFERROR((AL40-MIN($AL$2:$AL$101))/(MAX($AL$2:$AL$101)-MIN($AL$2:$AL$101))*99,30))),0))</x:f>
      </x:c>
      <x:c r="Q40" s="20" t="str">
        <x:f>IF($B40="", "", ROUND(MAX(30, MIN(99, IFERROR((AM40-MIN($AM$2:$AM$101))/(MAX($AM$2:$AM$101)-MIN($AM$2:$AM$101))*99,30))),0))</x:f>
      </x:c>
      <x:c r="R40" s="20" t="str">
        <x:f>IF($B40="", "", ROUND(MAX(30, MIN(99, IFERROR((AN40-MIN($AN$2:$AN$101))/(MAX($AN$2:$AN$101)-MIN($AN$2:$AN$101))*99,30))),0))</x:f>
      </x:c>
      <x:c r="S40" s="20" t="str">
        <x:f>IF($B40="", "", ROUND(MAX(30, MIN(99, IFERROR((AO40-MIN($AO$2:$AO$101))/(MAX($AO$2:$AO$101)-MIN($AO$2:$AO$101))*99,30))),0))</x:f>
      </x:c>
      <x:c r="T40" s="20" t="str">
        <x:f>IF($B40="", "", ROUND(MAX(30, MIN(99, IFERROR((AP40-MIN($AP$2:$AP$101))/(MAX($AP$2:$AP$101)-MIN($AP$2:$AP$101))*99,30))),0))</x:f>
      </x:c>
      <x:c r="U40" s="20" t="str">
        <x:f>IF($B40="", "", ROUND(MAX(30, MIN(99, IFERROR((AQ40-MIN($AQ$2:$AQ$101))/(MAX($AQ$2:$AQ$101)-MIN($AQ$2:$AQ$101))*99,30))),0))</x:f>
      </x:c>
      <x:c r="V40" s="20" t="str">
        <x:f>IF($B40="", "", ROUND(MAX(30, MIN(99, IFERROR((AR40-MIN($AR$2:$AR$101))/(MAX($AR$2:$AR$101)-MIN($AR$2:$AR$101))*99,30))),0))</x:f>
      </x:c>
      <x:c r="W40" s="20" t="str">
        <x:f>IF($B40="", "", ROUND(MAX(30, MIN(99, IFERROR((AS40-MIN($AS$2:$AS$101))/(MAX($AS$2:$AS$101)-MIN($AS$2:$AS$101))*99,30))),0))</x:f>
      </x:c>
      <x:c r="X40" s="20" t="str">
        <x:f>IF($B40="", "", ROUND(MAX(30, MIN(99, IFERROR((AT40-MIN($AT$2:$AT$101))/(MAX($AT$2:$AT$101)-MIN($AT$2:$AT$101))*99,30))),0))</x:f>
      </x:c>
      <x:c r="Y40" s="20" t="str">
        <x:f>IF($B40="","",ROUND(AVERAGE(I40:X40),0))</x:f>
      </x:c>
      <x:c r="Z40" s="20" t="str">
        <x:f>IF($B40="","",ROUND(MAX(30,MIN(99,IFS(ISNUMBER(SEARCH("PG",UPPER(SUBSTITUTE($C40,"/","-")))),84,ISNUMBER(SEARCH("SG",UPPER(SUBSTITUTE($C40,"/","-")))),76,ISNUMBER(SEARCH("SF",UPPER(SUBSTITUTE($C40,"/","-")))),68,ISNUMBER(SEARCH("PF",UPPER(SUBSTITUTE($C40,"/","-")))),55,ISNUMBER(SEARCH("C",UPPER(SUBSTITUTE($C40,"/","-")))),42,TRUE,65)+((195-IFERROR($D40,195))*0.15)+((95-IFERROR($E40,95))*0.08))),0))</x:f>
      </x:c>
      <x:c r="AA40" s="20" t="str">
        <x:f>IF($B40="","",ROUND(MAX(30,MIN(99,IFS(ISNUMBER(SEARCH("PG",UPPER(SUBSTITUTE($C40,"/","-")))),84,ISNUMBER(SEARCH("SG",UPPER(SUBSTITUTE($C40,"/","-")))),76,ISNUMBER(SEARCH("SF",UPPER(SUBSTITUTE($C40,"/","-")))),68,ISNUMBER(SEARCH("PF",UPPER(SUBSTITUTE($C40,"/","-")))),55,ISNUMBER(SEARCH("C",UPPER(SUBSTITUTE($C40,"/","-")))),42,TRUE,65)+((195-IFERROR($D40,195))*0.18)+((95-IFERROR($E40,95))*0.10))),0))</x:f>
      </x:c>
      <x:c r="AB40" s="20" t="str">
        <x:f>IF($B40="","",ROUND(MAX(30,MIN(99,IFS(ISNUMBER(SEARCH("PG",UPPER(SUBSTITUTE($C40,"/","-")))),84,ISNUMBER(SEARCH("SG",UPPER(SUBSTITUTE($C40,"/","-")))),76,ISNUMBER(SEARCH("SF",UPPER(SUBSTITUTE($C40,"/","-")))),68,ISNUMBER(SEARCH("PF",UPPER(SUBSTITUTE($C40,"/","-")))),55,ISNUMBER(SEARCH("C",UPPER(SUBSTITUTE($C40,"/","-")))),42,TRUE,65)+2+((195-IFERROR($D40,195))*0.14)+((95-IFERROR($E40,95))*0.09))),0))</x:f>
      </x:c>
      <x:c r="AC40" s="20" t="str">
        <x:f>IF($B40="","",ROUND(MAX(30,MIN(99,IFS(ISNUMBER(SEARCH("C",UPPER(SUBSTITUTE($C40,"/","-")))),92,ISNUMBER(SEARCH("PF",UPPER(SUBSTITUTE($C40,"/","-")))),82,ISNUMBER(SEARCH("SF",UPPER(SUBSTITUTE($C40,"/","-")))),64,ISNUMBER(SEARCH("SG",UPPER(SUBSTITUTE($C40,"/","-")))),48,ISNUMBER(SEARCH("PG",UPPER(SUBSTITUTE($C40,"/","-")))),36,TRUE,60)+((IFERROR($E40,95)-95)*0.45)+((IFERROR($D40,195)-195)*0.10)+((IFERROR($F40,200)-200)*0.08))),0))</x:f>
      </x:c>
      <x:c r="AD40" s="20" t="str">
        <x:f>IF($B40="","",ROUND(MAX(30,MIN(99,65+((IFERROR($F40,200)-200)*0.22)+((IFERROR($D40,195)-195)*0.08)-((IFERROR($E40,95)-95)*0.07))),0))</x:f>
      </x:c>
      <x:c r="AE40" s="15" t="n">
        <x:f>IFERROR(='입력데이터'!S40,0)*0.4+IFERROR(='입력데이터'!AP40,0)*0.4+IFERROR(='입력데이터'!AO40,0)*0.5</x:f>
        <x:v>0</x:v>
      </x:c>
      <x:c r="AF40" s="15" t="n">
        <x:f>IFERROR(='입력데이터'!S40,0)*0.5+IFERROR(='입력데이터'!P40,0)*0.8+IFERROR(='입력데이터'!AG40,0)</x:f>
        <x:v>0</x:v>
      </x:c>
      <x:c r="AG40" s="15" t="n">
        <x:f>IFERROR(='입력데이터'!AJ40,0)*8+IFERROR(IFERROR(='입력데이터'!AJ40,0)/IFERROR(='입력데이터'!AK40,0),0)*30</x:f>
        <x:v>0</x:v>
      </x:c>
      <x:c r="AH40" s="15" t="n">
        <x:f>IFERROR(='입력데이터'!AJ40,0)*6+IFERROR(='입력데이터'!AH40,0)*4</x:f>
        <x:v>0</x:v>
      </x:c>
      <x:c r="AI40" s="15" t="n">
        <x:f>IFERROR(='입력데이터'!AP40,0)*0.4+IFERROR(='입력데이터'!AE40,0)*1.5+IFERROR(='입력데이터'!Q40,0)*1.5</x:f>
        <x:v>0</x:v>
      </x:c>
      <x:c r="AJ40" s="15" t="n">
        <x:f>MAX(0,IFERROR(='입력데이터'!P40,0)-IFERROR(='입력데이터'!Q40,0)*2-IFERROR(='입력데이터'!T40,0)*3-IFERROR(='입력데이터'!Z40,0))*1.5+IFERROR(='입력데이터'!Y40,0)*0.3</x:f>
        <x:v>0</x:v>
      </x:c>
      <x:c r="AK40" s="15" t="n">
        <x:f>IFERROR(='입력데이터'!V40,0)*0.6+IFERROR(='입력데이터'!U40,0)*2+IFERROR(='입력데이터'!T40,0)*3</x:f>
        <x:v>0</x:v>
      </x:c>
      <x:c r="AL40" s="15" t="n">
        <x:f>IFERROR(='입력데이터'!AB40,0)*0.7+IFERROR(='입력데이터'!AA40,0)*1.5</x:f>
        <x:v>0</x:v>
      </x:c>
      <x:c r="AM40" s="15" t="n">
        <x:f>IFERROR(='입력데이터'!AF40,0)*5+IFERROR(IFERROR(='입력데이터'!AF40,0)/IFERROR(='입력데이터'!AL40,0),0)*3+IFERROR(='입력데이터'!AT40,0)</x:f>
        <x:v>0</x:v>
      </x:c>
      <x:c r="AN40" s="15" t="n">
        <x:f>IFERROR(='입력데이터'!AF40,0)*3+IFERROR(='입력데이터'!AG40,0)*3+IFERROR(IFERROR(='입력데이터'!AF40,0)/IFERROR(='입력데이터'!AL40,0),0)*4</x:f>
        <x:v>0</x:v>
      </x:c>
      <x:c r="AO40" s="15" t="n">
        <x:f>IFERROR(='입력데이터'!AG40,0)*12+IFERROR(='입력데이터'!AU40,0)*6</x:f>
        <x:v>0</x:v>
      </x:c>
      <x:c r="AP40" s="15" t="n">
        <x:f>IFERROR(='입력데이터'!AH40,0)*14+IFERROR(='입력데이터'!AD40,0)</x:f>
        <x:v>0</x:v>
      </x:c>
      <x:c r="AQ40" s="15" t="n">
        <x:f>IFERROR(='입력데이터'!AC40,0)*10</x:f>
        <x:v>0</x:v>
      </x:c>
      <x:c r="AR40" s="15" t="n">
        <x:f>IFERROR(='입력데이터'!AD40,0)*7+IFERROR(='입력데이터'!AH40,0)*2</x:f>
        <x:v>0</x:v>
      </x:c>
      <x:c r="AS40" s="15" t="n">
        <x:f>IFERROR(='입력데이터'!AH40,0)*8+IFERROR(='입력데이터'!AD40,0)*2+IFERROR(='입력데이터'!AI40,0)*4</x:f>
        <x:v>0</x:v>
      </x:c>
      <x:c r="AT40" s="16" t="n">
        <x:f>IFERROR(='입력데이터'!AG40,0)*8+IFERROR(='입력데이터'!AI40,0)*5+IFERROR(='입력데이터'!AU40,0)*4</x:f>
        <x:v>0</x:v>
      </x:c>
    </x:row>
    <x:row r="41">
      <x:c r="A41" s="14" t="str">
        <x:f>IF('입력데이터'!$B41="","",'입력데이터'!A41)</x:f>
      </x:c>
      <x:c r="B41" s="15" t="str">
        <x:f>IF('입력데이터'!$B41="","",'입력데이터'!B41)</x:f>
      </x:c>
      <x:c r="C41" s="15" t="str">
        <x:f>IF('입력데이터'!$B41="","",'입력데이터'!K41)</x:f>
      </x:c>
      <x:c r="D41" s="15" t="str">
        <x:f>IF('입력데이터'!$B41="","",'입력데이터'!H41)</x:f>
      </x:c>
      <x:c r="E41" s="15" t="str">
        <x:f>IF('입력데이터'!$B41="","",'입력데이터'!I41)</x:f>
      </x:c>
      <x:c r="F41" s="15" t="str">
        <x:f>IF('입력데이터'!$B41="","",'입력데이터'!J41)</x:f>
      </x:c>
      <x:c r="G41" s="15" t="str">
        <x:f>IF('입력데이터'!$B41="","",'입력데이터'!L41)</x:f>
      </x:c>
      <x:c r="H41" s="15" t="str">
        <x:f>IF('입력데이터'!$B41="","",'입력데이터'!O41)</x:f>
      </x:c>
      <x:c r="I41" s="20" t="str">
        <x:f>IF($B41="", "", ROUND(MAX(30, MIN(99, IFERROR((AE41-MIN($AE$2:$AE$101))/(MAX($AE$2:$AE$101)-MIN($AE$2:$AE$101))*99,30))),0))</x:f>
      </x:c>
      <x:c r="J41" s="20" t="str">
        <x:f>IF($B41="", "", ROUND(MAX(30, MIN(99, IFERROR((AF41-MIN($AF$2:$AF$101))/(MAX($AF$2:$AF$101)-MIN($AF$2:$AF$101))*99,30))),0))</x:f>
      </x:c>
      <x:c r="K41" s="20" t="str">
        <x:f>IF($B41="", "", ROUND(MAX(30, MIN(99, IFERROR((AG41-MIN($AG$2:$AG$101))/(MAX($AG$2:$AG$101)-MIN($AG$2:$AG$101))*99,30))),0))</x:f>
      </x:c>
      <x:c r="L41" s="20" t="str">
        <x:f>IF($B41="", "", ROUND(MAX(30, MIN(99, IFERROR((AH41-MIN($AH$2:$AH$101))/(MAX($AH$2:$AH$101)-MIN($AH$2:$AH$101))*99,30))),0))</x:f>
      </x:c>
      <x:c r="M41" s="20" t="str">
        <x:f>IF($B41="", "", ROUND(MAX(30, MIN(99, IFERROR((AI41-MIN($AI$2:$AI$101))/(MAX($AI$2:$AI$101)-MIN($AI$2:$AI$101))*99,30))),0))</x:f>
      </x:c>
      <x:c r="N41" s="20" t="str">
        <x:f>IF($B41="", "", ROUND(MAX(30, MIN(99, IFERROR((AJ41-MIN($AJ$2:$AJ$101))/(MAX($AJ$2:$AJ$101)-MIN($AJ$2:$AJ$101))*99,30))),0))</x:f>
      </x:c>
      <x:c r="O41" s="20" t="str">
        <x:f>IF($B41="", "", ROUND(MAX(30, MIN(99, IFERROR((AK41-MIN($AK$2:$AK$101))/(MAX($AK$2:$AK$101)-MIN($AK$2:$AK$101))*99,30))),0))</x:f>
      </x:c>
      <x:c r="P41" s="20" t="str">
        <x:f>IF($B41="", "", ROUND(MAX(30, MIN(99, IFERROR((AL41-MIN($AL$2:$AL$101))/(MAX($AL$2:$AL$101)-MIN($AL$2:$AL$101))*99,30))),0))</x:f>
      </x:c>
      <x:c r="Q41" s="20" t="str">
        <x:f>IF($B41="", "", ROUND(MAX(30, MIN(99, IFERROR((AM41-MIN($AM$2:$AM$101))/(MAX($AM$2:$AM$101)-MIN($AM$2:$AM$101))*99,30))),0))</x:f>
      </x:c>
      <x:c r="R41" s="20" t="str">
        <x:f>IF($B41="", "", ROUND(MAX(30, MIN(99, IFERROR((AN41-MIN($AN$2:$AN$101))/(MAX($AN$2:$AN$101)-MIN($AN$2:$AN$101))*99,30))),0))</x:f>
      </x:c>
      <x:c r="S41" s="20" t="str">
        <x:f>IF($B41="", "", ROUND(MAX(30, MIN(99, IFERROR((AO41-MIN($AO$2:$AO$101))/(MAX($AO$2:$AO$101)-MIN($AO$2:$AO$101))*99,30))),0))</x:f>
      </x:c>
      <x:c r="T41" s="20" t="str">
        <x:f>IF($B41="", "", ROUND(MAX(30, MIN(99, IFERROR((AP41-MIN($AP$2:$AP$101))/(MAX($AP$2:$AP$101)-MIN($AP$2:$AP$101))*99,30))),0))</x:f>
      </x:c>
      <x:c r="U41" s="20" t="str">
        <x:f>IF($B41="", "", ROUND(MAX(30, MIN(99, IFERROR((AQ41-MIN($AQ$2:$AQ$101))/(MAX($AQ$2:$AQ$101)-MIN($AQ$2:$AQ$101))*99,30))),0))</x:f>
      </x:c>
      <x:c r="V41" s="20" t="str">
        <x:f>IF($B41="", "", ROUND(MAX(30, MIN(99, IFERROR((AR41-MIN($AR$2:$AR$101))/(MAX($AR$2:$AR$101)-MIN($AR$2:$AR$101))*99,30))),0))</x:f>
      </x:c>
      <x:c r="W41" s="20" t="str">
        <x:f>IF($B41="", "", ROUND(MAX(30, MIN(99, IFERROR((AS41-MIN($AS$2:$AS$101))/(MAX($AS$2:$AS$101)-MIN($AS$2:$AS$101))*99,30))),0))</x:f>
      </x:c>
      <x:c r="X41" s="20" t="str">
        <x:f>IF($B41="", "", ROUND(MAX(30, MIN(99, IFERROR((AT41-MIN($AT$2:$AT$101))/(MAX($AT$2:$AT$101)-MIN($AT$2:$AT$101))*99,30))),0))</x:f>
      </x:c>
      <x:c r="Y41" s="20" t="str">
        <x:f>IF($B41="","",ROUND(AVERAGE(I41:X41),0))</x:f>
      </x:c>
      <x:c r="Z41" s="20" t="str">
        <x:f>IF($B41="","",ROUND(MAX(30,MIN(99,IFS(ISNUMBER(SEARCH("PG",UPPER(SUBSTITUTE($C41,"/","-")))),84,ISNUMBER(SEARCH("SG",UPPER(SUBSTITUTE($C41,"/","-")))),76,ISNUMBER(SEARCH("SF",UPPER(SUBSTITUTE($C41,"/","-")))),68,ISNUMBER(SEARCH("PF",UPPER(SUBSTITUTE($C41,"/","-")))),55,ISNUMBER(SEARCH("C",UPPER(SUBSTITUTE($C41,"/","-")))),42,TRUE,65)+((195-IFERROR($D41,195))*0.15)+((95-IFERROR($E41,95))*0.08))),0))</x:f>
      </x:c>
      <x:c r="AA41" s="20" t="str">
        <x:f>IF($B41="","",ROUND(MAX(30,MIN(99,IFS(ISNUMBER(SEARCH("PG",UPPER(SUBSTITUTE($C41,"/","-")))),84,ISNUMBER(SEARCH("SG",UPPER(SUBSTITUTE($C41,"/","-")))),76,ISNUMBER(SEARCH("SF",UPPER(SUBSTITUTE($C41,"/","-")))),68,ISNUMBER(SEARCH("PF",UPPER(SUBSTITUTE($C41,"/","-")))),55,ISNUMBER(SEARCH("C",UPPER(SUBSTITUTE($C41,"/","-")))),42,TRUE,65)+((195-IFERROR($D41,195))*0.18)+((95-IFERROR($E41,95))*0.10))),0))</x:f>
      </x:c>
      <x:c r="AB41" s="20" t="str">
        <x:f>IF($B41="","",ROUND(MAX(30,MIN(99,IFS(ISNUMBER(SEARCH("PG",UPPER(SUBSTITUTE($C41,"/","-")))),84,ISNUMBER(SEARCH("SG",UPPER(SUBSTITUTE($C41,"/","-")))),76,ISNUMBER(SEARCH("SF",UPPER(SUBSTITUTE($C41,"/","-")))),68,ISNUMBER(SEARCH("PF",UPPER(SUBSTITUTE($C41,"/","-")))),55,ISNUMBER(SEARCH("C",UPPER(SUBSTITUTE($C41,"/","-")))),42,TRUE,65)+2+((195-IFERROR($D41,195))*0.14)+((95-IFERROR($E41,95))*0.09))),0))</x:f>
      </x:c>
      <x:c r="AC41" s="20" t="str">
        <x:f>IF($B41="","",ROUND(MAX(30,MIN(99,IFS(ISNUMBER(SEARCH("C",UPPER(SUBSTITUTE($C41,"/","-")))),92,ISNUMBER(SEARCH("PF",UPPER(SUBSTITUTE($C41,"/","-")))),82,ISNUMBER(SEARCH("SF",UPPER(SUBSTITUTE($C41,"/","-")))),64,ISNUMBER(SEARCH("SG",UPPER(SUBSTITUTE($C41,"/","-")))),48,ISNUMBER(SEARCH("PG",UPPER(SUBSTITUTE($C41,"/","-")))),36,TRUE,60)+((IFERROR($E41,95)-95)*0.45)+((IFERROR($D41,195)-195)*0.10)+((IFERROR($F41,200)-200)*0.08))),0))</x:f>
      </x:c>
      <x:c r="AD41" s="20" t="str">
        <x:f>IF($B41="","",ROUND(MAX(30,MIN(99,65+((IFERROR($F41,200)-200)*0.22)+((IFERROR($D41,195)-195)*0.08)-((IFERROR($E41,95)-95)*0.07))),0))</x:f>
      </x:c>
      <x:c r="AE41" s="15" t="n">
        <x:f>IFERROR(='입력데이터'!S41,0)*0.4+IFERROR(='입력데이터'!AP41,0)*0.4+IFERROR(='입력데이터'!AO41,0)*0.5</x:f>
        <x:v>0</x:v>
      </x:c>
      <x:c r="AF41" s="15" t="n">
        <x:f>IFERROR(='입력데이터'!S41,0)*0.5+IFERROR(='입력데이터'!P41,0)*0.8+IFERROR(='입력데이터'!AG41,0)</x:f>
        <x:v>0</x:v>
      </x:c>
      <x:c r="AG41" s="15" t="n">
        <x:f>IFERROR(='입력데이터'!AJ41,0)*8+IFERROR(IFERROR(='입력데이터'!AJ41,0)/IFERROR(='입력데이터'!AK41,0),0)*30</x:f>
        <x:v>0</x:v>
      </x:c>
      <x:c r="AH41" s="15" t="n">
        <x:f>IFERROR(='입력데이터'!AJ41,0)*6+IFERROR(='입력데이터'!AH41,0)*4</x:f>
        <x:v>0</x:v>
      </x:c>
      <x:c r="AI41" s="15" t="n">
        <x:f>IFERROR(='입력데이터'!AP41,0)*0.4+IFERROR(='입력데이터'!AE41,0)*1.5+IFERROR(='입력데이터'!Q41,0)*1.5</x:f>
        <x:v>0</x:v>
      </x:c>
      <x:c r="AJ41" s="15" t="n">
        <x:f>MAX(0,IFERROR(='입력데이터'!P41,0)-IFERROR(='입력데이터'!Q41,0)*2-IFERROR(='입력데이터'!T41,0)*3-IFERROR(='입력데이터'!Z41,0))*1.5+IFERROR(='입력데이터'!Y41,0)*0.3</x:f>
        <x:v>0</x:v>
      </x:c>
      <x:c r="AK41" s="15" t="n">
        <x:f>IFERROR(='입력데이터'!V41,0)*0.6+IFERROR(='입력데이터'!U41,0)*2+IFERROR(='입력데이터'!T41,0)*3</x:f>
        <x:v>0</x:v>
      </x:c>
      <x:c r="AL41" s="15" t="n">
        <x:f>IFERROR(='입력데이터'!AB41,0)*0.7+IFERROR(='입력데이터'!AA41,0)*1.5</x:f>
        <x:v>0</x:v>
      </x:c>
      <x:c r="AM41" s="15" t="n">
        <x:f>IFERROR(='입력데이터'!AF41,0)*5+IFERROR(IFERROR(='입력데이터'!AF41,0)/IFERROR(='입력데이터'!AL41,0),0)*3+IFERROR(='입력데이터'!AT41,0)</x:f>
        <x:v>0</x:v>
      </x:c>
      <x:c r="AN41" s="15" t="n">
        <x:f>IFERROR(='입력데이터'!AF41,0)*3+IFERROR(='입력데이터'!AG41,0)*3+IFERROR(IFERROR(='입력데이터'!AF41,0)/IFERROR(='입력데이터'!AL41,0),0)*4</x:f>
        <x:v>0</x:v>
      </x:c>
      <x:c r="AO41" s="15" t="n">
        <x:f>IFERROR(='입력데이터'!AG41,0)*12+IFERROR(='입력데이터'!AU41,0)*6</x:f>
        <x:v>0</x:v>
      </x:c>
      <x:c r="AP41" s="15" t="n">
        <x:f>IFERROR(='입력데이터'!AH41,0)*14+IFERROR(='입력데이터'!AD41,0)</x:f>
        <x:v>0</x:v>
      </x:c>
      <x:c r="AQ41" s="15" t="n">
        <x:f>IFERROR(='입력데이터'!AC41,0)*10</x:f>
        <x:v>0</x:v>
      </x:c>
      <x:c r="AR41" s="15" t="n">
        <x:f>IFERROR(='입력데이터'!AD41,0)*7+IFERROR(='입력데이터'!AH41,0)*2</x:f>
        <x:v>0</x:v>
      </x:c>
      <x:c r="AS41" s="15" t="n">
        <x:f>IFERROR(='입력데이터'!AH41,0)*8+IFERROR(='입력데이터'!AD41,0)*2+IFERROR(='입력데이터'!AI41,0)*4</x:f>
        <x:v>0</x:v>
      </x:c>
      <x:c r="AT41" s="16" t="n">
        <x:f>IFERROR(='입력데이터'!AG41,0)*8+IFERROR(='입력데이터'!AI41,0)*5+IFERROR(='입력데이터'!AU41,0)*4</x:f>
        <x:v>0</x:v>
      </x:c>
    </x:row>
    <x:row r="42">
      <x:c r="A42" s="14" t="str">
        <x:f>IF('입력데이터'!$B42="","",'입력데이터'!A42)</x:f>
      </x:c>
      <x:c r="B42" s="15" t="str">
        <x:f>IF('입력데이터'!$B42="","",'입력데이터'!B42)</x:f>
      </x:c>
      <x:c r="C42" s="15" t="str">
        <x:f>IF('입력데이터'!$B42="","",'입력데이터'!K42)</x:f>
      </x:c>
      <x:c r="D42" s="15" t="str">
        <x:f>IF('입력데이터'!$B42="","",'입력데이터'!H42)</x:f>
      </x:c>
      <x:c r="E42" s="15" t="str">
        <x:f>IF('입력데이터'!$B42="","",'입력데이터'!I42)</x:f>
      </x:c>
      <x:c r="F42" s="15" t="str">
        <x:f>IF('입력데이터'!$B42="","",'입력데이터'!J42)</x:f>
      </x:c>
      <x:c r="G42" s="15" t="str">
        <x:f>IF('입력데이터'!$B42="","",'입력데이터'!L42)</x:f>
      </x:c>
      <x:c r="H42" s="15" t="str">
        <x:f>IF('입력데이터'!$B42="","",'입력데이터'!O42)</x:f>
      </x:c>
      <x:c r="I42" s="20" t="str">
        <x:f>IF($B42="", "", ROUND(MAX(30, MIN(99, IFERROR((AE42-MIN($AE$2:$AE$101))/(MAX($AE$2:$AE$101)-MIN($AE$2:$AE$101))*99,30))),0))</x:f>
      </x:c>
      <x:c r="J42" s="20" t="str">
        <x:f>IF($B42="", "", ROUND(MAX(30, MIN(99, IFERROR((AF42-MIN($AF$2:$AF$101))/(MAX($AF$2:$AF$101)-MIN($AF$2:$AF$101))*99,30))),0))</x:f>
      </x:c>
      <x:c r="K42" s="20" t="str">
        <x:f>IF($B42="", "", ROUND(MAX(30, MIN(99, IFERROR((AG42-MIN($AG$2:$AG$101))/(MAX($AG$2:$AG$101)-MIN($AG$2:$AG$101))*99,30))),0))</x:f>
      </x:c>
      <x:c r="L42" s="20" t="str">
        <x:f>IF($B42="", "", ROUND(MAX(30, MIN(99, IFERROR((AH42-MIN($AH$2:$AH$101))/(MAX($AH$2:$AH$101)-MIN($AH$2:$AH$101))*99,30))),0))</x:f>
      </x:c>
      <x:c r="M42" s="20" t="str">
        <x:f>IF($B42="", "", ROUND(MAX(30, MIN(99, IFERROR((AI42-MIN($AI$2:$AI$101))/(MAX($AI$2:$AI$101)-MIN($AI$2:$AI$101))*99,30))),0))</x:f>
      </x:c>
      <x:c r="N42" s="20" t="str">
        <x:f>IF($B42="", "", ROUND(MAX(30, MIN(99, IFERROR((AJ42-MIN($AJ$2:$AJ$101))/(MAX($AJ$2:$AJ$101)-MIN($AJ$2:$AJ$101))*99,30))),0))</x:f>
      </x:c>
      <x:c r="O42" s="20" t="str">
        <x:f>IF($B42="", "", ROUND(MAX(30, MIN(99, IFERROR((AK42-MIN($AK$2:$AK$101))/(MAX($AK$2:$AK$101)-MIN($AK$2:$AK$101))*99,30))),0))</x:f>
      </x:c>
      <x:c r="P42" s="20" t="str">
        <x:f>IF($B42="", "", ROUND(MAX(30, MIN(99, IFERROR((AL42-MIN($AL$2:$AL$101))/(MAX($AL$2:$AL$101)-MIN($AL$2:$AL$101))*99,30))),0))</x:f>
      </x:c>
      <x:c r="Q42" s="20" t="str">
        <x:f>IF($B42="", "", ROUND(MAX(30, MIN(99, IFERROR((AM42-MIN($AM$2:$AM$101))/(MAX($AM$2:$AM$101)-MIN($AM$2:$AM$101))*99,30))),0))</x:f>
      </x:c>
      <x:c r="R42" s="20" t="str">
        <x:f>IF($B42="", "", ROUND(MAX(30, MIN(99, IFERROR((AN42-MIN($AN$2:$AN$101))/(MAX($AN$2:$AN$101)-MIN($AN$2:$AN$101))*99,30))),0))</x:f>
      </x:c>
      <x:c r="S42" s="20" t="str">
        <x:f>IF($B42="", "", ROUND(MAX(30, MIN(99, IFERROR((AO42-MIN($AO$2:$AO$101))/(MAX($AO$2:$AO$101)-MIN($AO$2:$AO$101))*99,30))),0))</x:f>
      </x:c>
      <x:c r="T42" s="20" t="str">
        <x:f>IF($B42="", "", ROUND(MAX(30, MIN(99, IFERROR((AP42-MIN($AP$2:$AP$101))/(MAX($AP$2:$AP$101)-MIN($AP$2:$AP$101))*99,30))),0))</x:f>
      </x:c>
      <x:c r="U42" s="20" t="str">
        <x:f>IF($B42="", "", ROUND(MAX(30, MIN(99, IFERROR((AQ42-MIN($AQ$2:$AQ$101))/(MAX($AQ$2:$AQ$101)-MIN($AQ$2:$AQ$101))*99,30))),0))</x:f>
      </x:c>
      <x:c r="V42" s="20" t="str">
        <x:f>IF($B42="", "", ROUND(MAX(30, MIN(99, IFERROR((AR42-MIN($AR$2:$AR$101))/(MAX($AR$2:$AR$101)-MIN($AR$2:$AR$101))*99,30))),0))</x:f>
      </x:c>
      <x:c r="W42" s="20" t="str">
        <x:f>IF($B42="", "", ROUND(MAX(30, MIN(99, IFERROR((AS42-MIN($AS$2:$AS$101))/(MAX($AS$2:$AS$101)-MIN($AS$2:$AS$101))*99,30))),0))</x:f>
      </x:c>
      <x:c r="X42" s="20" t="str">
        <x:f>IF($B42="", "", ROUND(MAX(30, MIN(99, IFERROR((AT42-MIN($AT$2:$AT$101))/(MAX($AT$2:$AT$101)-MIN($AT$2:$AT$101))*99,30))),0))</x:f>
      </x:c>
      <x:c r="Y42" s="20" t="str">
        <x:f>IF($B42="","",ROUND(AVERAGE(I42:X42),0))</x:f>
      </x:c>
      <x:c r="Z42" s="20" t="str">
        <x:f>IF($B42="","",ROUND(MAX(30,MIN(99,IFS(ISNUMBER(SEARCH("PG",UPPER(SUBSTITUTE($C42,"/","-")))),84,ISNUMBER(SEARCH("SG",UPPER(SUBSTITUTE($C42,"/","-")))),76,ISNUMBER(SEARCH("SF",UPPER(SUBSTITUTE($C42,"/","-")))),68,ISNUMBER(SEARCH("PF",UPPER(SUBSTITUTE($C42,"/","-")))),55,ISNUMBER(SEARCH("C",UPPER(SUBSTITUTE($C42,"/","-")))),42,TRUE,65)+((195-IFERROR($D42,195))*0.15)+((95-IFERROR($E42,95))*0.08))),0))</x:f>
      </x:c>
      <x:c r="AA42" s="20" t="str">
        <x:f>IF($B42="","",ROUND(MAX(30,MIN(99,IFS(ISNUMBER(SEARCH("PG",UPPER(SUBSTITUTE($C42,"/","-")))),84,ISNUMBER(SEARCH("SG",UPPER(SUBSTITUTE($C42,"/","-")))),76,ISNUMBER(SEARCH("SF",UPPER(SUBSTITUTE($C42,"/","-")))),68,ISNUMBER(SEARCH("PF",UPPER(SUBSTITUTE($C42,"/","-")))),55,ISNUMBER(SEARCH("C",UPPER(SUBSTITUTE($C42,"/","-")))),42,TRUE,65)+((195-IFERROR($D42,195))*0.18)+((95-IFERROR($E42,95))*0.10))),0))</x:f>
      </x:c>
      <x:c r="AB42" s="20" t="str">
        <x:f>IF($B42="","",ROUND(MAX(30,MIN(99,IFS(ISNUMBER(SEARCH("PG",UPPER(SUBSTITUTE($C42,"/","-")))),84,ISNUMBER(SEARCH("SG",UPPER(SUBSTITUTE($C42,"/","-")))),76,ISNUMBER(SEARCH("SF",UPPER(SUBSTITUTE($C42,"/","-")))),68,ISNUMBER(SEARCH("PF",UPPER(SUBSTITUTE($C42,"/","-")))),55,ISNUMBER(SEARCH("C",UPPER(SUBSTITUTE($C42,"/","-")))),42,TRUE,65)+2+((195-IFERROR($D42,195))*0.14)+((95-IFERROR($E42,95))*0.09))),0))</x:f>
      </x:c>
      <x:c r="AC42" s="20" t="str">
        <x:f>IF($B42="","",ROUND(MAX(30,MIN(99,IFS(ISNUMBER(SEARCH("C",UPPER(SUBSTITUTE($C42,"/","-")))),92,ISNUMBER(SEARCH("PF",UPPER(SUBSTITUTE($C42,"/","-")))),82,ISNUMBER(SEARCH("SF",UPPER(SUBSTITUTE($C42,"/","-")))),64,ISNUMBER(SEARCH("SG",UPPER(SUBSTITUTE($C42,"/","-")))),48,ISNUMBER(SEARCH("PG",UPPER(SUBSTITUTE($C42,"/","-")))),36,TRUE,60)+((IFERROR($E42,95)-95)*0.45)+((IFERROR($D42,195)-195)*0.10)+((IFERROR($F42,200)-200)*0.08))),0))</x:f>
      </x:c>
      <x:c r="AD42" s="20" t="str">
        <x:f>IF($B42="","",ROUND(MAX(30,MIN(99,65+((IFERROR($F42,200)-200)*0.22)+((IFERROR($D42,195)-195)*0.08)-((IFERROR($E42,95)-95)*0.07))),0))</x:f>
      </x:c>
      <x:c r="AE42" s="15" t="n">
        <x:f>IFERROR(='입력데이터'!S42,0)*0.4+IFERROR(='입력데이터'!AP42,0)*0.4+IFERROR(='입력데이터'!AO42,0)*0.5</x:f>
        <x:v>0</x:v>
      </x:c>
      <x:c r="AF42" s="15" t="n">
        <x:f>IFERROR(='입력데이터'!S42,0)*0.5+IFERROR(='입력데이터'!P42,0)*0.8+IFERROR(='입력데이터'!AG42,0)</x:f>
        <x:v>0</x:v>
      </x:c>
      <x:c r="AG42" s="15" t="n">
        <x:f>IFERROR(='입력데이터'!AJ42,0)*8+IFERROR(IFERROR(='입력데이터'!AJ42,0)/IFERROR(='입력데이터'!AK42,0),0)*30</x:f>
        <x:v>0</x:v>
      </x:c>
      <x:c r="AH42" s="15" t="n">
        <x:f>IFERROR(='입력데이터'!AJ42,0)*6+IFERROR(='입력데이터'!AH42,0)*4</x:f>
        <x:v>0</x:v>
      </x:c>
      <x:c r="AI42" s="15" t="n">
        <x:f>IFERROR(='입력데이터'!AP42,0)*0.4+IFERROR(='입력데이터'!AE42,0)*1.5+IFERROR(='입력데이터'!Q42,0)*1.5</x:f>
        <x:v>0</x:v>
      </x:c>
      <x:c r="AJ42" s="15" t="n">
        <x:f>MAX(0,IFERROR(='입력데이터'!P42,0)-IFERROR(='입력데이터'!Q42,0)*2-IFERROR(='입력데이터'!T42,0)*3-IFERROR(='입력데이터'!Z42,0))*1.5+IFERROR(='입력데이터'!Y42,0)*0.3</x:f>
        <x:v>0</x:v>
      </x:c>
      <x:c r="AK42" s="15" t="n">
        <x:f>IFERROR(='입력데이터'!V42,0)*0.6+IFERROR(='입력데이터'!U42,0)*2+IFERROR(='입력데이터'!T42,0)*3</x:f>
        <x:v>0</x:v>
      </x:c>
      <x:c r="AL42" s="15" t="n">
        <x:f>IFERROR(='입력데이터'!AB42,0)*0.7+IFERROR(='입력데이터'!AA42,0)*1.5</x:f>
        <x:v>0</x:v>
      </x:c>
      <x:c r="AM42" s="15" t="n">
        <x:f>IFERROR(='입력데이터'!AF42,0)*5+IFERROR(IFERROR(='입력데이터'!AF42,0)/IFERROR(='입력데이터'!AL42,0),0)*3+IFERROR(='입력데이터'!AT42,0)</x:f>
        <x:v>0</x:v>
      </x:c>
      <x:c r="AN42" s="15" t="n">
        <x:f>IFERROR(='입력데이터'!AF42,0)*3+IFERROR(='입력데이터'!AG42,0)*3+IFERROR(IFERROR(='입력데이터'!AF42,0)/IFERROR(='입력데이터'!AL42,0),0)*4</x:f>
        <x:v>0</x:v>
      </x:c>
      <x:c r="AO42" s="15" t="n">
        <x:f>IFERROR(='입력데이터'!AG42,0)*12+IFERROR(='입력데이터'!AU42,0)*6</x:f>
        <x:v>0</x:v>
      </x:c>
      <x:c r="AP42" s="15" t="n">
        <x:f>IFERROR(='입력데이터'!AH42,0)*14+IFERROR(='입력데이터'!AD42,0)</x:f>
        <x:v>0</x:v>
      </x:c>
      <x:c r="AQ42" s="15" t="n">
        <x:f>IFERROR(='입력데이터'!AC42,0)*10</x:f>
        <x:v>0</x:v>
      </x:c>
      <x:c r="AR42" s="15" t="n">
        <x:f>IFERROR(='입력데이터'!AD42,0)*7+IFERROR(='입력데이터'!AH42,0)*2</x:f>
        <x:v>0</x:v>
      </x:c>
      <x:c r="AS42" s="15" t="n">
        <x:f>IFERROR(='입력데이터'!AH42,0)*8+IFERROR(='입력데이터'!AD42,0)*2+IFERROR(='입력데이터'!AI42,0)*4</x:f>
        <x:v>0</x:v>
      </x:c>
      <x:c r="AT42" s="16" t="n">
        <x:f>IFERROR(='입력데이터'!AG42,0)*8+IFERROR(='입력데이터'!AI42,0)*5+IFERROR(='입력데이터'!AU42,0)*4</x:f>
        <x:v>0</x:v>
      </x:c>
    </x:row>
    <x:row r="43">
      <x:c r="A43" s="14" t="str">
        <x:f>IF('입력데이터'!$B43="","",'입력데이터'!A43)</x:f>
      </x:c>
      <x:c r="B43" s="15" t="str">
        <x:f>IF('입력데이터'!$B43="","",'입력데이터'!B43)</x:f>
      </x:c>
      <x:c r="C43" s="15" t="str">
        <x:f>IF('입력데이터'!$B43="","",'입력데이터'!K43)</x:f>
      </x:c>
      <x:c r="D43" s="15" t="str">
        <x:f>IF('입력데이터'!$B43="","",'입력데이터'!H43)</x:f>
      </x:c>
      <x:c r="E43" s="15" t="str">
        <x:f>IF('입력데이터'!$B43="","",'입력데이터'!I43)</x:f>
      </x:c>
      <x:c r="F43" s="15" t="str">
        <x:f>IF('입력데이터'!$B43="","",'입력데이터'!J43)</x:f>
      </x:c>
      <x:c r="G43" s="15" t="str">
        <x:f>IF('입력데이터'!$B43="","",'입력데이터'!L43)</x:f>
      </x:c>
      <x:c r="H43" s="15" t="str">
        <x:f>IF('입력데이터'!$B43="","",'입력데이터'!O43)</x:f>
      </x:c>
      <x:c r="I43" s="20" t="str">
        <x:f>IF($B43="", "", ROUND(MAX(30, MIN(99, IFERROR((AE43-MIN($AE$2:$AE$101))/(MAX($AE$2:$AE$101)-MIN($AE$2:$AE$101))*99,30))),0))</x:f>
      </x:c>
      <x:c r="J43" s="20" t="str">
        <x:f>IF($B43="", "", ROUND(MAX(30, MIN(99, IFERROR((AF43-MIN($AF$2:$AF$101))/(MAX($AF$2:$AF$101)-MIN($AF$2:$AF$101))*99,30))),0))</x:f>
      </x:c>
      <x:c r="K43" s="20" t="str">
        <x:f>IF($B43="", "", ROUND(MAX(30, MIN(99, IFERROR((AG43-MIN($AG$2:$AG$101))/(MAX($AG$2:$AG$101)-MIN($AG$2:$AG$101))*99,30))),0))</x:f>
      </x:c>
      <x:c r="L43" s="20" t="str">
        <x:f>IF($B43="", "", ROUND(MAX(30, MIN(99, IFERROR((AH43-MIN($AH$2:$AH$101))/(MAX($AH$2:$AH$101)-MIN($AH$2:$AH$101))*99,30))),0))</x:f>
      </x:c>
      <x:c r="M43" s="20" t="str">
        <x:f>IF($B43="", "", ROUND(MAX(30, MIN(99, IFERROR((AI43-MIN($AI$2:$AI$101))/(MAX($AI$2:$AI$101)-MIN($AI$2:$AI$101))*99,30))),0))</x:f>
      </x:c>
      <x:c r="N43" s="20" t="str">
        <x:f>IF($B43="", "", ROUND(MAX(30, MIN(99, IFERROR((AJ43-MIN($AJ$2:$AJ$101))/(MAX($AJ$2:$AJ$101)-MIN($AJ$2:$AJ$101))*99,30))),0))</x:f>
      </x:c>
      <x:c r="O43" s="20" t="str">
        <x:f>IF($B43="", "", ROUND(MAX(30, MIN(99, IFERROR((AK43-MIN($AK$2:$AK$101))/(MAX($AK$2:$AK$101)-MIN($AK$2:$AK$101))*99,30))),0))</x:f>
      </x:c>
      <x:c r="P43" s="20" t="str">
        <x:f>IF($B43="", "", ROUND(MAX(30, MIN(99, IFERROR((AL43-MIN($AL$2:$AL$101))/(MAX($AL$2:$AL$101)-MIN($AL$2:$AL$101))*99,30))),0))</x:f>
      </x:c>
      <x:c r="Q43" s="20" t="str">
        <x:f>IF($B43="", "", ROUND(MAX(30, MIN(99, IFERROR((AM43-MIN($AM$2:$AM$101))/(MAX($AM$2:$AM$101)-MIN($AM$2:$AM$101))*99,30))),0))</x:f>
      </x:c>
      <x:c r="R43" s="20" t="str">
        <x:f>IF($B43="", "", ROUND(MAX(30, MIN(99, IFERROR((AN43-MIN($AN$2:$AN$101))/(MAX($AN$2:$AN$101)-MIN($AN$2:$AN$101))*99,30))),0))</x:f>
      </x:c>
      <x:c r="S43" s="20" t="str">
        <x:f>IF($B43="", "", ROUND(MAX(30, MIN(99, IFERROR((AO43-MIN($AO$2:$AO$101))/(MAX($AO$2:$AO$101)-MIN($AO$2:$AO$101))*99,30))),0))</x:f>
      </x:c>
      <x:c r="T43" s="20" t="str">
        <x:f>IF($B43="", "", ROUND(MAX(30, MIN(99, IFERROR((AP43-MIN($AP$2:$AP$101))/(MAX($AP$2:$AP$101)-MIN($AP$2:$AP$101))*99,30))),0))</x:f>
      </x:c>
      <x:c r="U43" s="20" t="str">
        <x:f>IF($B43="", "", ROUND(MAX(30, MIN(99, IFERROR((AQ43-MIN($AQ$2:$AQ$101))/(MAX($AQ$2:$AQ$101)-MIN($AQ$2:$AQ$101))*99,30))),0))</x:f>
      </x:c>
      <x:c r="V43" s="20" t="str">
        <x:f>IF($B43="", "", ROUND(MAX(30, MIN(99, IFERROR((AR43-MIN($AR$2:$AR$101))/(MAX($AR$2:$AR$101)-MIN($AR$2:$AR$101))*99,30))),0))</x:f>
      </x:c>
      <x:c r="W43" s="20" t="str">
        <x:f>IF($B43="", "", ROUND(MAX(30, MIN(99, IFERROR((AS43-MIN($AS$2:$AS$101))/(MAX($AS$2:$AS$101)-MIN($AS$2:$AS$101))*99,30))),0))</x:f>
      </x:c>
      <x:c r="X43" s="20" t="str">
        <x:f>IF($B43="", "", ROUND(MAX(30, MIN(99, IFERROR((AT43-MIN($AT$2:$AT$101))/(MAX($AT$2:$AT$101)-MIN($AT$2:$AT$101))*99,30))),0))</x:f>
      </x:c>
      <x:c r="Y43" s="20" t="str">
        <x:f>IF($B43="","",ROUND(AVERAGE(I43:X43),0))</x:f>
      </x:c>
      <x:c r="Z43" s="20" t="str">
        <x:f>IF($B43="","",ROUND(MAX(30,MIN(99,IFS(ISNUMBER(SEARCH("PG",UPPER(SUBSTITUTE($C43,"/","-")))),84,ISNUMBER(SEARCH("SG",UPPER(SUBSTITUTE($C43,"/","-")))),76,ISNUMBER(SEARCH("SF",UPPER(SUBSTITUTE($C43,"/","-")))),68,ISNUMBER(SEARCH("PF",UPPER(SUBSTITUTE($C43,"/","-")))),55,ISNUMBER(SEARCH("C",UPPER(SUBSTITUTE($C43,"/","-")))),42,TRUE,65)+((195-IFERROR($D43,195))*0.15)+((95-IFERROR($E43,95))*0.08))),0))</x:f>
      </x:c>
      <x:c r="AA43" s="20" t="str">
        <x:f>IF($B43="","",ROUND(MAX(30,MIN(99,IFS(ISNUMBER(SEARCH("PG",UPPER(SUBSTITUTE($C43,"/","-")))),84,ISNUMBER(SEARCH("SG",UPPER(SUBSTITUTE($C43,"/","-")))),76,ISNUMBER(SEARCH("SF",UPPER(SUBSTITUTE($C43,"/","-")))),68,ISNUMBER(SEARCH("PF",UPPER(SUBSTITUTE($C43,"/","-")))),55,ISNUMBER(SEARCH("C",UPPER(SUBSTITUTE($C43,"/","-")))),42,TRUE,65)+((195-IFERROR($D43,195))*0.18)+((95-IFERROR($E43,95))*0.10))),0))</x:f>
      </x:c>
      <x:c r="AB43" s="20" t="str">
        <x:f>IF($B43="","",ROUND(MAX(30,MIN(99,IFS(ISNUMBER(SEARCH("PG",UPPER(SUBSTITUTE($C43,"/","-")))),84,ISNUMBER(SEARCH("SG",UPPER(SUBSTITUTE($C43,"/","-")))),76,ISNUMBER(SEARCH("SF",UPPER(SUBSTITUTE($C43,"/","-")))),68,ISNUMBER(SEARCH("PF",UPPER(SUBSTITUTE($C43,"/","-")))),55,ISNUMBER(SEARCH("C",UPPER(SUBSTITUTE($C43,"/","-")))),42,TRUE,65)+2+((195-IFERROR($D43,195))*0.14)+((95-IFERROR($E43,95))*0.09))),0))</x:f>
      </x:c>
      <x:c r="AC43" s="20" t="str">
        <x:f>IF($B43="","",ROUND(MAX(30,MIN(99,IFS(ISNUMBER(SEARCH("C",UPPER(SUBSTITUTE($C43,"/","-")))),92,ISNUMBER(SEARCH("PF",UPPER(SUBSTITUTE($C43,"/","-")))),82,ISNUMBER(SEARCH("SF",UPPER(SUBSTITUTE($C43,"/","-")))),64,ISNUMBER(SEARCH("SG",UPPER(SUBSTITUTE($C43,"/","-")))),48,ISNUMBER(SEARCH("PG",UPPER(SUBSTITUTE($C43,"/","-")))),36,TRUE,60)+((IFERROR($E43,95)-95)*0.45)+((IFERROR($D43,195)-195)*0.10)+((IFERROR($F43,200)-200)*0.08))),0))</x:f>
      </x:c>
      <x:c r="AD43" s="20" t="str">
        <x:f>IF($B43="","",ROUND(MAX(30,MIN(99,65+((IFERROR($F43,200)-200)*0.22)+((IFERROR($D43,195)-195)*0.08)-((IFERROR($E43,95)-95)*0.07))),0))</x:f>
      </x:c>
      <x:c r="AE43" s="15" t="n">
        <x:f>IFERROR(='입력데이터'!S43,0)*0.4+IFERROR(='입력데이터'!AP43,0)*0.4+IFERROR(='입력데이터'!AO43,0)*0.5</x:f>
        <x:v>0</x:v>
      </x:c>
      <x:c r="AF43" s="15" t="n">
        <x:f>IFERROR(='입력데이터'!S43,0)*0.5+IFERROR(='입력데이터'!P43,0)*0.8+IFERROR(='입력데이터'!AG43,0)</x:f>
        <x:v>0</x:v>
      </x:c>
      <x:c r="AG43" s="15" t="n">
        <x:f>IFERROR(='입력데이터'!AJ43,0)*8+IFERROR(IFERROR(='입력데이터'!AJ43,0)/IFERROR(='입력데이터'!AK43,0),0)*30</x:f>
        <x:v>0</x:v>
      </x:c>
      <x:c r="AH43" s="15" t="n">
        <x:f>IFERROR(='입력데이터'!AJ43,0)*6+IFERROR(='입력데이터'!AH43,0)*4</x:f>
        <x:v>0</x:v>
      </x:c>
      <x:c r="AI43" s="15" t="n">
        <x:f>IFERROR(='입력데이터'!AP43,0)*0.4+IFERROR(='입력데이터'!AE43,0)*1.5+IFERROR(='입력데이터'!Q43,0)*1.5</x:f>
        <x:v>0</x:v>
      </x:c>
      <x:c r="AJ43" s="15" t="n">
        <x:f>MAX(0,IFERROR(='입력데이터'!P43,0)-IFERROR(='입력데이터'!Q43,0)*2-IFERROR(='입력데이터'!T43,0)*3-IFERROR(='입력데이터'!Z43,0))*1.5+IFERROR(='입력데이터'!Y43,0)*0.3</x:f>
        <x:v>0</x:v>
      </x:c>
      <x:c r="AK43" s="15" t="n">
        <x:f>IFERROR(='입력데이터'!V43,0)*0.6+IFERROR(='입력데이터'!U43,0)*2+IFERROR(='입력데이터'!T43,0)*3</x:f>
        <x:v>0</x:v>
      </x:c>
      <x:c r="AL43" s="15" t="n">
        <x:f>IFERROR(='입력데이터'!AB43,0)*0.7+IFERROR(='입력데이터'!AA43,0)*1.5</x:f>
        <x:v>0</x:v>
      </x:c>
      <x:c r="AM43" s="15" t="n">
        <x:f>IFERROR(='입력데이터'!AF43,0)*5+IFERROR(IFERROR(='입력데이터'!AF43,0)/IFERROR(='입력데이터'!AL43,0),0)*3+IFERROR(='입력데이터'!AT43,0)</x:f>
        <x:v>0</x:v>
      </x:c>
      <x:c r="AN43" s="15" t="n">
        <x:f>IFERROR(='입력데이터'!AF43,0)*3+IFERROR(='입력데이터'!AG43,0)*3+IFERROR(IFERROR(='입력데이터'!AF43,0)/IFERROR(='입력데이터'!AL43,0),0)*4</x:f>
        <x:v>0</x:v>
      </x:c>
      <x:c r="AO43" s="15" t="n">
        <x:f>IFERROR(='입력데이터'!AG43,0)*12+IFERROR(='입력데이터'!AU43,0)*6</x:f>
        <x:v>0</x:v>
      </x:c>
      <x:c r="AP43" s="15" t="n">
        <x:f>IFERROR(='입력데이터'!AH43,0)*14+IFERROR(='입력데이터'!AD43,0)</x:f>
        <x:v>0</x:v>
      </x:c>
      <x:c r="AQ43" s="15" t="n">
        <x:f>IFERROR(='입력데이터'!AC43,0)*10</x:f>
        <x:v>0</x:v>
      </x:c>
      <x:c r="AR43" s="15" t="n">
        <x:f>IFERROR(='입력데이터'!AD43,0)*7+IFERROR(='입력데이터'!AH43,0)*2</x:f>
        <x:v>0</x:v>
      </x:c>
      <x:c r="AS43" s="15" t="n">
        <x:f>IFERROR(='입력데이터'!AH43,0)*8+IFERROR(='입력데이터'!AD43,0)*2+IFERROR(='입력데이터'!AI43,0)*4</x:f>
        <x:v>0</x:v>
      </x:c>
      <x:c r="AT43" s="16" t="n">
        <x:f>IFERROR(='입력데이터'!AG43,0)*8+IFERROR(='입력데이터'!AI43,0)*5+IFERROR(='입력데이터'!AU43,0)*4</x:f>
        <x:v>0</x:v>
      </x:c>
    </x:row>
    <x:row r="44">
      <x:c r="A44" s="14" t="str">
        <x:f>IF('입력데이터'!$B44="","",'입력데이터'!A44)</x:f>
      </x:c>
      <x:c r="B44" s="15" t="str">
        <x:f>IF('입력데이터'!$B44="","",'입력데이터'!B44)</x:f>
      </x:c>
      <x:c r="C44" s="15" t="str">
        <x:f>IF('입력데이터'!$B44="","",'입력데이터'!K44)</x:f>
      </x:c>
      <x:c r="D44" s="15" t="str">
        <x:f>IF('입력데이터'!$B44="","",'입력데이터'!H44)</x:f>
      </x:c>
      <x:c r="E44" s="15" t="str">
        <x:f>IF('입력데이터'!$B44="","",'입력데이터'!I44)</x:f>
      </x:c>
      <x:c r="F44" s="15" t="str">
        <x:f>IF('입력데이터'!$B44="","",'입력데이터'!J44)</x:f>
      </x:c>
      <x:c r="G44" s="15" t="str">
        <x:f>IF('입력데이터'!$B44="","",'입력데이터'!L44)</x:f>
      </x:c>
      <x:c r="H44" s="15" t="str">
        <x:f>IF('입력데이터'!$B44="","",'입력데이터'!O44)</x:f>
      </x:c>
      <x:c r="I44" s="20" t="str">
        <x:f>IF($B44="", "", ROUND(MAX(30, MIN(99, IFERROR((AE44-MIN($AE$2:$AE$101))/(MAX($AE$2:$AE$101)-MIN($AE$2:$AE$101))*99,30))),0))</x:f>
      </x:c>
      <x:c r="J44" s="20" t="str">
        <x:f>IF($B44="", "", ROUND(MAX(30, MIN(99, IFERROR((AF44-MIN($AF$2:$AF$101))/(MAX($AF$2:$AF$101)-MIN($AF$2:$AF$101))*99,30))),0))</x:f>
      </x:c>
      <x:c r="K44" s="20" t="str">
        <x:f>IF($B44="", "", ROUND(MAX(30, MIN(99, IFERROR((AG44-MIN($AG$2:$AG$101))/(MAX($AG$2:$AG$101)-MIN($AG$2:$AG$101))*99,30))),0))</x:f>
      </x:c>
      <x:c r="L44" s="20" t="str">
        <x:f>IF($B44="", "", ROUND(MAX(30, MIN(99, IFERROR((AH44-MIN($AH$2:$AH$101))/(MAX($AH$2:$AH$101)-MIN($AH$2:$AH$101))*99,30))),0))</x:f>
      </x:c>
      <x:c r="M44" s="20" t="str">
        <x:f>IF($B44="", "", ROUND(MAX(30, MIN(99, IFERROR((AI44-MIN($AI$2:$AI$101))/(MAX($AI$2:$AI$101)-MIN($AI$2:$AI$101))*99,30))),0))</x:f>
      </x:c>
      <x:c r="N44" s="20" t="str">
        <x:f>IF($B44="", "", ROUND(MAX(30, MIN(99, IFERROR((AJ44-MIN($AJ$2:$AJ$101))/(MAX($AJ$2:$AJ$101)-MIN($AJ$2:$AJ$101))*99,30))),0))</x:f>
      </x:c>
      <x:c r="O44" s="20" t="str">
        <x:f>IF($B44="", "", ROUND(MAX(30, MIN(99, IFERROR((AK44-MIN($AK$2:$AK$101))/(MAX($AK$2:$AK$101)-MIN($AK$2:$AK$101))*99,30))),0))</x:f>
      </x:c>
      <x:c r="P44" s="20" t="str">
        <x:f>IF($B44="", "", ROUND(MAX(30, MIN(99, IFERROR((AL44-MIN($AL$2:$AL$101))/(MAX($AL$2:$AL$101)-MIN($AL$2:$AL$101))*99,30))),0))</x:f>
      </x:c>
      <x:c r="Q44" s="20" t="str">
        <x:f>IF($B44="", "", ROUND(MAX(30, MIN(99, IFERROR((AM44-MIN($AM$2:$AM$101))/(MAX($AM$2:$AM$101)-MIN($AM$2:$AM$101))*99,30))),0))</x:f>
      </x:c>
      <x:c r="R44" s="20" t="str">
        <x:f>IF($B44="", "", ROUND(MAX(30, MIN(99, IFERROR((AN44-MIN($AN$2:$AN$101))/(MAX($AN$2:$AN$101)-MIN($AN$2:$AN$101))*99,30))),0))</x:f>
      </x:c>
      <x:c r="S44" s="20" t="str">
        <x:f>IF($B44="", "", ROUND(MAX(30, MIN(99, IFERROR((AO44-MIN($AO$2:$AO$101))/(MAX($AO$2:$AO$101)-MIN($AO$2:$AO$101))*99,30))),0))</x:f>
      </x:c>
      <x:c r="T44" s="20" t="str">
        <x:f>IF($B44="", "", ROUND(MAX(30, MIN(99, IFERROR((AP44-MIN($AP$2:$AP$101))/(MAX($AP$2:$AP$101)-MIN($AP$2:$AP$101))*99,30))),0))</x:f>
      </x:c>
      <x:c r="U44" s="20" t="str">
        <x:f>IF($B44="", "", ROUND(MAX(30, MIN(99, IFERROR((AQ44-MIN($AQ$2:$AQ$101))/(MAX($AQ$2:$AQ$101)-MIN($AQ$2:$AQ$101))*99,30))),0))</x:f>
      </x:c>
      <x:c r="V44" s="20" t="str">
        <x:f>IF($B44="", "", ROUND(MAX(30, MIN(99, IFERROR((AR44-MIN($AR$2:$AR$101))/(MAX($AR$2:$AR$101)-MIN($AR$2:$AR$101))*99,30))),0))</x:f>
      </x:c>
      <x:c r="W44" s="20" t="str">
        <x:f>IF($B44="", "", ROUND(MAX(30, MIN(99, IFERROR((AS44-MIN($AS$2:$AS$101))/(MAX($AS$2:$AS$101)-MIN($AS$2:$AS$101))*99,30))),0))</x:f>
      </x:c>
      <x:c r="X44" s="20" t="str">
        <x:f>IF($B44="", "", ROUND(MAX(30, MIN(99, IFERROR((AT44-MIN($AT$2:$AT$101))/(MAX($AT$2:$AT$101)-MIN($AT$2:$AT$101))*99,30))),0))</x:f>
      </x:c>
      <x:c r="Y44" s="20" t="str">
        <x:f>IF($B44="","",ROUND(AVERAGE(I44:X44),0))</x:f>
      </x:c>
      <x:c r="Z44" s="20" t="str">
        <x:f>IF($B44="","",ROUND(MAX(30,MIN(99,IFS(ISNUMBER(SEARCH("PG",UPPER(SUBSTITUTE($C44,"/","-")))),84,ISNUMBER(SEARCH("SG",UPPER(SUBSTITUTE($C44,"/","-")))),76,ISNUMBER(SEARCH("SF",UPPER(SUBSTITUTE($C44,"/","-")))),68,ISNUMBER(SEARCH("PF",UPPER(SUBSTITUTE($C44,"/","-")))),55,ISNUMBER(SEARCH("C",UPPER(SUBSTITUTE($C44,"/","-")))),42,TRUE,65)+((195-IFERROR($D44,195))*0.15)+((95-IFERROR($E44,95))*0.08))),0))</x:f>
      </x:c>
      <x:c r="AA44" s="20" t="str">
        <x:f>IF($B44="","",ROUND(MAX(30,MIN(99,IFS(ISNUMBER(SEARCH("PG",UPPER(SUBSTITUTE($C44,"/","-")))),84,ISNUMBER(SEARCH("SG",UPPER(SUBSTITUTE($C44,"/","-")))),76,ISNUMBER(SEARCH("SF",UPPER(SUBSTITUTE($C44,"/","-")))),68,ISNUMBER(SEARCH("PF",UPPER(SUBSTITUTE($C44,"/","-")))),55,ISNUMBER(SEARCH("C",UPPER(SUBSTITUTE($C44,"/","-")))),42,TRUE,65)+((195-IFERROR($D44,195))*0.18)+((95-IFERROR($E44,95))*0.10))),0))</x:f>
      </x:c>
      <x:c r="AB44" s="20" t="str">
        <x:f>IF($B44="","",ROUND(MAX(30,MIN(99,IFS(ISNUMBER(SEARCH("PG",UPPER(SUBSTITUTE($C44,"/","-")))),84,ISNUMBER(SEARCH("SG",UPPER(SUBSTITUTE($C44,"/","-")))),76,ISNUMBER(SEARCH("SF",UPPER(SUBSTITUTE($C44,"/","-")))),68,ISNUMBER(SEARCH("PF",UPPER(SUBSTITUTE($C44,"/","-")))),55,ISNUMBER(SEARCH("C",UPPER(SUBSTITUTE($C44,"/","-")))),42,TRUE,65)+2+((195-IFERROR($D44,195))*0.14)+((95-IFERROR($E44,95))*0.09))),0))</x:f>
      </x:c>
      <x:c r="AC44" s="20" t="str">
        <x:f>IF($B44="","",ROUND(MAX(30,MIN(99,IFS(ISNUMBER(SEARCH("C",UPPER(SUBSTITUTE($C44,"/","-")))),92,ISNUMBER(SEARCH("PF",UPPER(SUBSTITUTE($C44,"/","-")))),82,ISNUMBER(SEARCH("SF",UPPER(SUBSTITUTE($C44,"/","-")))),64,ISNUMBER(SEARCH("SG",UPPER(SUBSTITUTE($C44,"/","-")))),48,ISNUMBER(SEARCH("PG",UPPER(SUBSTITUTE($C44,"/","-")))),36,TRUE,60)+((IFERROR($E44,95)-95)*0.45)+((IFERROR($D44,195)-195)*0.10)+((IFERROR($F44,200)-200)*0.08))),0))</x:f>
      </x:c>
      <x:c r="AD44" s="20" t="str">
        <x:f>IF($B44="","",ROUND(MAX(30,MIN(99,65+((IFERROR($F44,200)-200)*0.22)+((IFERROR($D44,195)-195)*0.08)-((IFERROR($E44,95)-95)*0.07))),0))</x:f>
      </x:c>
      <x:c r="AE44" s="15" t="n">
        <x:f>IFERROR(='입력데이터'!S44,0)*0.4+IFERROR(='입력데이터'!AP44,0)*0.4+IFERROR(='입력데이터'!AO44,0)*0.5</x:f>
        <x:v>0</x:v>
      </x:c>
      <x:c r="AF44" s="15" t="n">
        <x:f>IFERROR(='입력데이터'!S44,0)*0.5+IFERROR(='입력데이터'!P44,0)*0.8+IFERROR(='입력데이터'!AG44,0)</x:f>
        <x:v>0</x:v>
      </x:c>
      <x:c r="AG44" s="15" t="n">
        <x:f>IFERROR(='입력데이터'!AJ44,0)*8+IFERROR(IFERROR(='입력데이터'!AJ44,0)/IFERROR(='입력데이터'!AK44,0),0)*30</x:f>
        <x:v>0</x:v>
      </x:c>
      <x:c r="AH44" s="15" t="n">
        <x:f>IFERROR(='입력데이터'!AJ44,0)*6+IFERROR(='입력데이터'!AH44,0)*4</x:f>
        <x:v>0</x:v>
      </x:c>
      <x:c r="AI44" s="15" t="n">
        <x:f>IFERROR(='입력데이터'!AP44,0)*0.4+IFERROR(='입력데이터'!AE44,0)*1.5+IFERROR(='입력데이터'!Q44,0)*1.5</x:f>
        <x:v>0</x:v>
      </x:c>
      <x:c r="AJ44" s="15" t="n">
        <x:f>MAX(0,IFERROR(='입력데이터'!P44,0)-IFERROR(='입력데이터'!Q44,0)*2-IFERROR(='입력데이터'!T44,0)*3-IFERROR(='입력데이터'!Z44,0))*1.5+IFERROR(='입력데이터'!Y44,0)*0.3</x:f>
        <x:v>0</x:v>
      </x:c>
      <x:c r="AK44" s="15" t="n">
        <x:f>IFERROR(='입력데이터'!V44,0)*0.6+IFERROR(='입력데이터'!U44,0)*2+IFERROR(='입력데이터'!T44,0)*3</x:f>
        <x:v>0</x:v>
      </x:c>
      <x:c r="AL44" s="15" t="n">
        <x:f>IFERROR(='입력데이터'!AB44,0)*0.7+IFERROR(='입력데이터'!AA44,0)*1.5</x:f>
        <x:v>0</x:v>
      </x:c>
      <x:c r="AM44" s="15" t="n">
        <x:f>IFERROR(='입력데이터'!AF44,0)*5+IFERROR(IFERROR(='입력데이터'!AF44,0)/IFERROR(='입력데이터'!AL44,0),0)*3+IFERROR(='입력데이터'!AT44,0)</x:f>
        <x:v>0</x:v>
      </x:c>
      <x:c r="AN44" s="15" t="n">
        <x:f>IFERROR(='입력데이터'!AF44,0)*3+IFERROR(='입력데이터'!AG44,0)*3+IFERROR(IFERROR(='입력데이터'!AF44,0)/IFERROR(='입력데이터'!AL44,0),0)*4</x:f>
        <x:v>0</x:v>
      </x:c>
      <x:c r="AO44" s="15" t="n">
        <x:f>IFERROR(='입력데이터'!AG44,0)*12+IFERROR(='입력데이터'!AU44,0)*6</x:f>
        <x:v>0</x:v>
      </x:c>
      <x:c r="AP44" s="15" t="n">
        <x:f>IFERROR(='입력데이터'!AH44,0)*14+IFERROR(='입력데이터'!AD44,0)</x:f>
        <x:v>0</x:v>
      </x:c>
      <x:c r="AQ44" s="15" t="n">
        <x:f>IFERROR(='입력데이터'!AC44,0)*10</x:f>
        <x:v>0</x:v>
      </x:c>
      <x:c r="AR44" s="15" t="n">
        <x:f>IFERROR(='입력데이터'!AD44,0)*7+IFERROR(='입력데이터'!AH44,0)*2</x:f>
        <x:v>0</x:v>
      </x:c>
      <x:c r="AS44" s="15" t="n">
        <x:f>IFERROR(='입력데이터'!AH44,0)*8+IFERROR(='입력데이터'!AD44,0)*2+IFERROR(='입력데이터'!AI44,0)*4</x:f>
        <x:v>0</x:v>
      </x:c>
      <x:c r="AT44" s="16" t="n">
        <x:f>IFERROR(='입력데이터'!AG44,0)*8+IFERROR(='입력데이터'!AI44,0)*5+IFERROR(='입력데이터'!AU44,0)*4</x:f>
        <x:v>0</x:v>
      </x:c>
    </x:row>
    <x:row r="45">
      <x:c r="A45" s="14" t="str">
        <x:f>IF('입력데이터'!$B45="","",'입력데이터'!A45)</x:f>
      </x:c>
      <x:c r="B45" s="15" t="str">
        <x:f>IF('입력데이터'!$B45="","",'입력데이터'!B45)</x:f>
      </x:c>
      <x:c r="C45" s="15" t="str">
        <x:f>IF('입력데이터'!$B45="","",'입력데이터'!K45)</x:f>
      </x:c>
      <x:c r="D45" s="15" t="str">
        <x:f>IF('입력데이터'!$B45="","",'입력데이터'!H45)</x:f>
      </x:c>
      <x:c r="E45" s="15" t="str">
        <x:f>IF('입력데이터'!$B45="","",'입력데이터'!I45)</x:f>
      </x:c>
      <x:c r="F45" s="15" t="str">
        <x:f>IF('입력데이터'!$B45="","",'입력데이터'!J45)</x:f>
      </x:c>
      <x:c r="G45" s="15" t="str">
        <x:f>IF('입력데이터'!$B45="","",'입력데이터'!L45)</x:f>
      </x:c>
      <x:c r="H45" s="15" t="str">
        <x:f>IF('입력데이터'!$B45="","",'입력데이터'!O45)</x:f>
      </x:c>
      <x:c r="I45" s="20" t="str">
        <x:f>IF($B45="", "", ROUND(MAX(30, MIN(99, IFERROR((AE45-MIN($AE$2:$AE$101))/(MAX($AE$2:$AE$101)-MIN($AE$2:$AE$101))*99,30))),0))</x:f>
      </x:c>
      <x:c r="J45" s="20" t="str">
        <x:f>IF($B45="", "", ROUND(MAX(30, MIN(99, IFERROR((AF45-MIN($AF$2:$AF$101))/(MAX($AF$2:$AF$101)-MIN($AF$2:$AF$101))*99,30))),0))</x:f>
      </x:c>
      <x:c r="K45" s="20" t="str">
        <x:f>IF($B45="", "", ROUND(MAX(30, MIN(99, IFERROR((AG45-MIN($AG$2:$AG$101))/(MAX($AG$2:$AG$101)-MIN($AG$2:$AG$101))*99,30))),0))</x:f>
      </x:c>
      <x:c r="L45" s="20" t="str">
        <x:f>IF($B45="", "", ROUND(MAX(30, MIN(99, IFERROR((AH45-MIN($AH$2:$AH$101))/(MAX($AH$2:$AH$101)-MIN($AH$2:$AH$101))*99,30))),0))</x:f>
      </x:c>
      <x:c r="M45" s="20" t="str">
        <x:f>IF($B45="", "", ROUND(MAX(30, MIN(99, IFERROR((AI45-MIN($AI$2:$AI$101))/(MAX($AI$2:$AI$101)-MIN($AI$2:$AI$101))*99,30))),0))</x:f>
      </x:c>
      <x:c r="N45" s="20" t="str">
        <x:f>IF($B45="", "", ROUND(MAX(30, MIN(99, IFERROR((AJ45-MIN($AJ$2:$AJ$101))/(MAX($AJ$2:$AJ$101)-MIN($AJ$2:$AJ$101))*99,30))),0))</x:f>
      </x:c>
      <x:c r="O45" s="20" t="str">
        <x:f>IF($B45="", "", ROUND(MAX(30, MIN(99, IFERROR((AK45-MIN($AK$2:$AK$101))/(MAX($AK$2:$AK$101)-MIN($AK$2:$AK$101))*99,30))),0))</x:f>
      </x:c>
      <x:c r="P45" s="20" t="str">
        <x:f>IF($B45="", "", ROUND(MAX(30, MIN(99, IFERROR((AL45-MIN($AL$2:$AL$101))/(MAX($AL$2:$AL$101)-MIN($AL$2:$AL$101))*99,30))),0))</x:f>
      </x:c>
      <x:c r="Q45" s="20" t="str">
        <x:f>IF($B45="", "", ROUND(MAX(30, MIN(99, IFERROR((AM45-MIN($AM$2:$AM$101))/(MAX($AM$2:$AM$101)-MIN($AM$2:$AM$101))*99,30))),0))</x:f>
      </x:c>
      <x:c r="R45" s="20" t="str">
        <x:f>IF($B45="", "", ROUND(MAX(30, MIN(99, IFERROR((AN45-MIN($AN$2:$AN$101))/(MAX($AN$2:$AN$101)-MIN($AN$2:$AN$101))*99,30))),0))</x:f>
      </x:c>
      <x:c r="S45" s="20" t="str">
        <x:f>IF($B45="", "", ROUND(MAX(30, MIN(99, IFERROR((AO45-MIN($AO$2:$AO$101))/(MAX($AO$2:$AO$101)-MIN($AO$2:$AO$101))*99,30))),0))</x:f>
      </x:c>
      <x:c r="T45" s="20" t="str">
        <x:f>IF($B45="", "", ROUND(MAX(30, MIN(99, IFERROR((AP45-MIN($AP$2:$AP$101))/(MAX($AP$2:$AP$101)-MIN($AP$2:$AP$101))*99,30))),0))</x:f>
      </x:c>
      <x:c r="U45" s="20" t="str">
        <x:f>IF($B45="", "", ROUND(MAX(30, MIN(99, IFERROR((AQ45-MIN($AQ$2:$AQ$101))/(MAX($AQ$2:$AQ$101)-MIN($AQ$2:$AQ$101))*99,30))),0))</x:f>
      </x:c>
      <x:c r="V45" s="20" t="str">
        <x:f>IF($B45="", "", ROUND(MAX(30, MIN(99, IFERROR((AR45-MIN($AR$2:$AR$101))/(MAX($AR$2:$AR$101)-MIN($AR$2:$AR$101))*99,30))),0))</x:f>
      </x:c>
      <x:c r="W45" s="20" t="str">
        <x:f>IF($B45="", "", ROUND(MAX(30, MIN(99, IFERROR((AS45-MIN($AS$2:$AS$101))/(MAX($AS$2:$AS$101)-MIN($AS$2:$AS$101))*99,30))),0))</x:f>
      </x:c>
      <x:c r="X45" s="20" t="str">
        <x:f>IF($B45="", "", ROUND(MAX(30, MIN(99, IFERROR((AT45-MIN($AT$2:$AT$101))/(MAX($AT$2:$AT$101)-MIN($AT$2:$AT$101))*99,30))),0))</x:f>
      </x:c>
      <x:c r="Y45" s="20" t="str">
        <x:f>IF($B45="","",ROUND(AVERAGE(I45:X45),0))</x:f>
      </x:c>
      <x:c r="Z45" s="20" t="str">
        <x:f>IF($B45="","",ROUND(MAX(30,MIN(99,IFS(ISNUMBER(SEARCH("PG",UPPER(SUBSTITUTE($C45,"/","-")))),84,ISNUMBER(SEARCH("SG",UPPER(SUBSTITUTE($C45,"/","-")))),76,ISNUMBER(SEARCH("SF",UPPER(SUBSTITUTE($C45,"/","-")))),68,ISNUMBER(SEARCH("PF",UPPER(SUBSTITUTE($C45,"/","-")))),55,ISNUMBER(SEARCH("C",UPPER(SUBSTITUTE($C45,"/","-")))),42,TRUE,65)+((195-IFERROR($D45,195))*0.15)+((95-IFERROR($E45,95))*0.08))),0))</x:f>
      </x:c>
      <x:c r="AA45" s="20" t="str">
        <x:f>IF($B45="","",ROUND(MAX(30,MIN(99,IFS(ISNUMBER(SEARCH("PG",UPPER(SUBSTITUTE($C45,"/","-")))),84,ISNUMBER(SEARCH("SG",UPPER(SUBSTITUTE($C45,"/","-")))),76,ISNUMBER(SEARCH("SF",UPPER(SUBSTITUTE($C45,"/","-")))),68,ISNUMBER(SEARCH("PF",UPPER(SUBSTITUTE($C45,"/","-")))),55,ISNUMBER(SEARCH("C",UPPER(SUBSTITUTE($C45,"/","-")))),42,TRUE,65)+((195-IFERROR($D45,195))*0.18)+((95-IFERROR($E45,95))*0.10))),0))</x:f>
      </x:c>
      <x:c r="AB45" s="20" t="str">
        <x:f>IF($B45="","",ROUND(MAX(30,MIN(99,IFS(ISNUMBER(SEARCH("PG",UPPER(SUBSTITUTE($C45,"/","-")))),84,ISNUMBER(SEARCH("SG",UPPER(SUBSTITUTE($C45,"/","-")))),76,ISNUMBER(SEARCH("SF",UPPER(SUBSTITUTE($C45,"/","-")))),68,ISNUMBER(SEARCH("PF",UPPER(SUBSTITUTE($C45,"/","-")))),55,ISNUMBER(SEARCH("C",UPPER(SUBSTITUTE($C45,"/","-")))),42,TRUE,65)+2+((195-IFERROR($D45,195))*0.14)+((95-IFERROR($E45,95))*0.09))),0))</x:f>
      </x:c>
      <x:c r="AC45" s="20" t="str">
        <x:f>IF($B45="","",ROUND(MAX(30,MIN(99,IFS(ISNUMBER(SEARCH("C",UPPER(SUBSTITUTE($C45,"/","-")))),92,ISNUMBER(SEARCH("PF",UPPER(SUBSTITUTE($C45,"/","-")))),82,ISNUMBER(SEARCH("SF",UPPER(SUBSTITUTE($C45,"/","-")))),64,ISNUMBER(SEARCH("SG",UPPER(SUBSTITUTE($C45,"/","-")))),48,ISNUMBER(SEARCH("PG",UPPER(SUBSTITUTE($C45,"/","-")))),36,TRUE,60)+((IFERROR($E45,95)-95)*0.45)+((IFERROR($D45,195)-195)*0.10)+((IFERROR($F45,200)-200)*0.08))),0))</x:f>
      </x:c>
      <x:c r="AD45" s="20" t="str">
        <x:f>IF($B45="","",ROUND(MAX(30,MIN(99,65+((IFERROR($F45,200)-200)*0.22)+((IFERROR($D45,195)-195)*0.08)-((IFERROR($E45,95)-95)*0.07))),0))</x:f>
      </x:c>
      <x:c r="AE45" s="15" t="n">
        <x:f>IFERROR(='입력데이터'!S45,0)*0.4+IFERROR(='입력데이터'!AP45,0)*0.4+IFERROR(='입력데이터'!AO45,0)*0.5</x:f>
        <x:v>0</x:v>
      </x:c>
      <x:c r="AF45" s="15" t="n">
        <x:f>IFERROR(='입력데이터'!S45,0)*0.5+IFERROR(='입력데이터'!P45,0)*0.8+IFERROR(='입력데이터'!AG45,0)</x:f>
        <x:v>0</x:v>
      </x:c>
      <x:c r="AG45" s="15" t="n">
        <x:f>IFERROR(='입력데이터'!AJ45,0)*8+IFERROR(IFERROR(='입력데이터'!AJ45,0)/IFERROR(='입력데이터'!AK45,0),0)*30</x:f>
        <x:v>0</x:v>
      </x:c>
      <x:c r="AH45" s="15" t="n">
        <x:f>IFERROR(='입력데이터'!AJ45,0)*6+IFERROR(='입력데이터'!AH45,0)*4</x:f>
        <x:v>0</x:v>
      </x:c>
      <x:c r="AI45" s="15" t="n">
        <x:f>IFERROR(='입력데이터'!AP45,0)*0.4+IFERROR(='입력데이터'!AE45,0)*1.5+IFERROR(='입력데이터'!Q45,0)*1.5</x:f>
        <x:v>0</x:v>
      </x:c>
      <x:c r="AJ45" s="15" t="n">
        <x:f>MAX(0,IFERROR(='입력데이터'!P45,0)-IFERROR(='입력데이터'!Q45,0)*2-IFERROR(='입력데이터'!T45,0)*3-IFERROR(='입력데이터'!Z45,0))*1.5+IFERROR(='입력데이터'!Y45,0)*0.3</x:f>
        <x:v>0</x:v>
      </x:c>
      <x:c r="AK45" s="15" t="n">
        <x:f>IFERROR(='입력데이터'!V45,0)*0.6+IFERROR(='입력데이터'!U45,0)*2+IFERROR(='입력데이터'!T45,0)*3</x:f>
        <x:v>0</x:v>
      </x:c>
      <x:c r="AL45" s="15" t="n">
        <x:f>IFERROR(='입력데이터'!AB45,0)*0.7+IFERROR(='입력데이터'!AA45,0)*1.5</x:f>
        <x:v>0</x:v>
      </x:c>
      <x:c r="AM45" s="15" t="n">
        <x:f>IFERROR(='입력데이터'!AF45,0)*5+IFERROR(IFERROR(='입력데이터'!AF45,0)/IFERROR(='입력데이터'!AL45,0),0)*3+IFERROR(='입력데이터'!AT45,0)</x:f>
        <x:v>0</x:v>
      </x:c>
      <x:c r="AN45" s="15" t="n">
        <x:f>IFERROR(='입력데이터'!AF45,0)*3+IFERROR(='입력데이터'!AG45,0)*3+IFERROR(IFERROR(='입력데이터'!AF45,0)/IFERROR(='입력데이터'!AL45,0),0)*4</x:f>
        <x:v>0</x:v>
      </x:c>
      <x:c r="AO45" s="15" t="n">
        <x:f>IFERROR(='입력데이터'!AG45,0)*12+IFERROR(='입력데이터'!AU45,0)*6</x:f>
        <x:v>0</x:v>
      </x:c>
      <x:c r="AP45" s="15" t="n">
        <x:f>IFERROR(='입력데이터'!AH45,0)*14+IFERROR(='입력데이터'!AD45,0)</x:f>
        <x:v>0</x:v>
      </x:c>
      <x:c r="AQ45" s="15" t="n">
        <x:f>IFERROR(='입력데이터'!AC45,0)*10</x:f>
        <x:v>0</x:v>
      </x:c>
      <x:c r="AR45" s="15" t="n">
        <x:f>IFERROR(='입력데이터'!AD45,0)*7+IFERROR(='입력데이터'!AH45,0)*2</x:f>
        <x:v>0</x:v>
      </x:c>
      <x:c r="AS45" s="15" t="n">
        <x:f>IFERROR(='입력데이터'!AH45,0)*8+IFERROR(='입력데이터'!AD45,0)*2+IFERROR(='입력데이터'!AI45,0)*4</x:f>
        <x:v>0</x:v>
      </x:c>
      <x:c r="AT45" s="16" t="n">
        <x:f>IFERROR(='입력데이터'!AG45,0)*8+IFERROR(='입력데이터'!AI45,0)*5+IFERROR(='입력데이터'!AU45,0)*4</x:f>
        <x:v>0</x:v>
      </x:c>
    </x:row>
    <x:row r="46">
      <x:c r="A46" s="14" t="str">
        <x:f>IF('입력데이터'!$B46="","",'입력데이터'!A46)</x:f>
      </x:c>
      <x:c r="B46" s="15" t="str">
        <x:f>IF('입력데이터'!$B46="","",'입력데이터'!B46)</x:f>
      </x:c>
      <x:c r="C46" s="15" t="str">
        <x:f>IF('입력데이터'!$B46="","",'입력데이터'!K46)</x:f>
      </x:c>
      <x:c r="D46" s="15" t="str">
        <x:f>IF('입력데이터'!$B46="","",'입력데이터'!H46)</x:f>
      </x:c>
      <x:c r="E46" s="15" t="str">
        <x:f>IF('입력데이터'!$B46="","",'입력데이터'!I46)</x:f>
      </x:c>
      <x:c r="F46" s="15" t="str">
        <x:f>IF('입력데이터'!$B46="","",'입력데이터'!J46)</x:f>
      </x:c>
      <x:c r="G46" s="15" t="str">
        <x:f>IF('입력데이터'!$B46="","",'입력데이터'!L46)</x:f>
      </x:c>
      <x:c r="H46" s="15" t="str">
        <x:f>IF('입력데이터'!$B46="","",'입력데이터'!O46)</x:f>
      </x:c>
      <x:c r="I46" s="20" t="str">
        <x:f>IF($B46="", "", ROUND(MAX(30, MIN(99, IFERROR((AE46-MIN($AE$2:$AE$101))/(MAX($AE$2:$AE$101)-MIN($AE$2:$AE$101))*99,30))),0))</x:f>
      </x:c>
      <x:c r="J46" s="20" t="str">
        <x:f>IF($B46="", "", ROUND(MAX(30, MIN(99, IFERROR((AF46-MIN($AF$2:$AF$101))/(MAX($AF$2:$AF$101)-MIN($AF$2:$AF$101))*99,30))),0))</x:f>
      </x:c>
      <x:c r="K46" s="20" t="str">
        <x:f>IF($B46="", "", ROUND(MAX(30, MIN(99, IFERROR((AG46-MIN($AG$2:$AG$101))/(MAX($AG$2:$AG$101)-MIN($AG$2:$AG$101))*99,30))),0))</x:f>
      </x:c>
      <x:c r="L46" s="20" t="str">
        <x:f>IF($B46="", "", ROUND(MAX(30, MIN(99, IFERROR((AH46-MIN($AH$2:$AH$101))/(MAX($AH$2:$AH$101)-MIN($AH$2:$AH$101))*99,30))),0))</x:f>
      </x:c>
      <x:c r="M46" s="20" t="str">
        <x:f>IF($B46="", "", ROUND(MAX(30, MIN(99, IFERROR((AI46-MIN($AI$2:$AI$101))/(MAX($AI$2:$AI$101)-MIN($AI$2:$AI$101))*99,30))),0))</x:f>
      </x:c>
      <x:c r="N46" s="20" t="str">
        <x:f>IF($B46="", "", ROUND(MAX(30, MIN(99, IFERROR((AJ46-MIN($AJ$2:$AJ$101))/(MAX($AJ$2:$AJ$101)-MIN($AJ$2:$AJ$101))*99,30))),0))</x:f>
      </x:c>
      <x:c r="O46" s="20" t="str">
        <x:f>IF($B46="", "", ROUND(MAX(30, MIN(99, IFERROR((AK46-MIN($AK$2:$AK$101))/(MAX($AK$2:$AK$101)-MIN($AK$2:$AK$101))*99,30))),0))</x:f>
      </x:c>
      <x:c r="P46" s="20" t="str">
        <x:f>IF($B46="", "", ROUND(MAX(30, MIN(99, IFERROR((AL46-MIN($AL$2:$AL$101))/(MAX($AL$2:$AL$101)-MIN($AL$2:$AL$101))*99,30))),0))</x:f>
      </x:c>
      <x:c r="Q46" s="20" t="str">
        <x:f>IF($B46="", "", ROUND(MAX(30, MIN(99, IFERROR((AM46-MIN($AM$2:$AM$101))/(MAX($AM$2:$AM$101)-MIN($AM$2:$AM$101))*99,30))),0))</x:f>
      </x:c>
      <x:c r="R46" s="20" t="str">
        <x:f>IF($B46="", "", ROUND(MAX(30, MIN(99, IFERROR((AN46-MIN($AN$2:$AN$101))/(MAX($AN$2:$AN$101)-MIN($AN$2:$AN$101))*99,30))),0))</x:f>
      </x:c>
      <x:c r="S46" s="20" t="str">
        <x:f>IF($B46="", "", ROUND(MAX(30, MIN(99, IFERROR((AO46-MIN($AO$2:$AO$101))/(MAX($AO$2:$AO$101)-MIN($AO$2:$AO$101))*99,30))),0))</x:f>
      </x:c>
      <x:c r="T46" s="20" t="str">
        <x:f>IF($B46="", "", ROUND(MAX(30, MIN(99, IFERROR((AP46-MIN($AP$2:$AP$101))/(MAX($AP$2:$AP$101)-MIN($AP$2:$AP$101))*99,30))),0))</x:f>
      </x:c>
      <x:c r="U46" s="20" t="str">
        <x:f>IF($B46="", "", ROUND(MAX(30, MIN(99, IFERROR((AQ46-MIN($AQ$2:$AQ$101))/(MAX($AQ$2:$AQ$101)-MIN($AQ$2:$AQ$101))*99,30))),0))</x:f>
      </x:c>
      <x:c r="V46" s="20" t="str">
        <x:f>IF($B46="", "", ROUND(MAX(30, MIN(99, IFERROR((AR46-MIN($AR$2:$AR$101))/(MAX($AR$2:$AR$101)-MIN($AR$2:$AR$101))*99,30))),0))</x:f>
      </x:c>
      <x:c r="W46" s="20" t="str">
        <x:f>IF($B46="", "", ROUND(MAX(30, MIN(99, IFERROR((AS46-MIN($AS$2:$AS$101))/(MAX($AS$2:$AS$101)-MIN($AS$2:$AS$101))*99,30))),0))</x:f>
      </x:c>
      <x:c r="X46" s="20" t="str">
        <x:f>IF($B46="", "", ROUND(MAX(30, MIN(99, IFERROR((AT46-MIN($AT$2:$AT$101))/(MAX($AT$2:$AT$101)-MIN($AT$2:$AT$101))*99,30))),0))</x:f>
      </x:c>
      <x:c r="Y46" s="20" t="str">
        <x:f>IF($B46="","",ROUND(AVERAGE(I46:X46),0))</x:f>
      </x:c>
      <x:c r="Z46" s="20" t="str">
        <x:f>IF($B46="","",ROUND(MAX(30,MIN(99,IFS(ISNUMBER(SEARCH("PG",UPPER(SUBSTITUTE($C46,"/","-")))),84,ISNUMBER(SEARCH("SG",UPPER(SUBSTITUTE($C46,"/","-")))),76,ISNUMBER(SEARCH("SF",UPPER(SUBSTITUTE($C46,"/","-")))),68,ISNUMBER(SEARCH("PF",UPPER(SUBSTITUTE($C46,"/","-")))),55,ISNUMBER(SEARCH("C",UPPER(SUBSTITUTE($C46,"/","-")))),42,TRUE,65)+((195-IFERROR($D46,195))*0.15)+((95-IFERROR($E46,95))*0.08))),0))</x:f>
      </x:c>
      <x:c r="AA46" s="20" t="str">
        <x:f>IF($B46="","",ROUND(MAX(30,MIN(99,IFS(ISNUMBER(SEARCH("PG",UPPER(SUBSTITUTE($C46,"/","-")))),84,ISNUMBER(SEARCH("SG",UPPER(SUBSTITUTE($C46,"/","-")))),76,ISNUMBER(SEARCH("SF",UPPER(SUBSTITUTE($C46,"/","-")))),68,ISNUMBER(SEARCH("PF",UPPER(SUBSTITUTE($C46,"/","-")))),55,ISNUMBER(SEARCH("C",UPPER(SUBSTITUTE($C46,"/","-")))),42,TRUE,65)+((195-IFERROR($D46,195))*0.18)+((95-IFERROR($E46,95))*0.10))),0))</x:f>
      </x:c>
      <x:c r="AB46" s="20" t="str">
        <x:f>IF($B46="","",ROUND(MAX(30,MIN(99,IFS(ISNUMBER(SEARCH("PG",UPPER(SUBSTITUTE($C46,"/","-")))),84,ISNUMBER(SEARCH("SG",UPPER(SUBSTITUTE($C46,"/","-")))),76,ISNUMBER(SEARCH("SF",UPPER(SUBSTITUTE($C46,"/","-")))),68,ISNUMBER(SEARCH("PF",UPPER(SUBSTITUTE($C46,"/","-")))),55,ISNUMBER(SEARCH("C",UPPER(SUBSTITUTE($C46,"/","-")))),42,TRUE,65)+2+((195-IFERROR($D46,195))*0.14)+((95-IFERROR($E46,95))*0.09))),0))</x:f>
      </x:c>
      <x:c r="AC46" s="20" t="str">
        <x:f>IF($B46="","",ROUND(MAX(30,MIN(99,IFS(ISNUMBER(SEARCH("C",UPPER(SUBSTITUTE($C46,"/","-")))),92,ISNUMBER(SEARCH("PF",UPPER(SUBSTITUTE($C46,"/","-")))),82,ISNUMBER(SEARCH("SF",UPPER(SUBSTITUTE($C46,"/","-")))),64,ISNUMBER(SEARCH("SG",UPPER(SUBSTITUTE($C46,"/","-")))),48,ISNUMBER(SEARCH("PG",UPPER(SUBSTITUTE($C46,"/","-")))),36,TRUE,60)+((IFERROR($E46,95)-95)*0.45)+((IFERROR($D46,195)-195)*0.10)+((IFERROR($F46,200)-200)*0.08))),0))</x:f>
      </x:c>
      <x:c r="AD46" s="20" t="str">
        <x:f>IF($B46="","",ROUND(MAX(30,MIN(99,65+((IFERROR($F46,200)-200)*0.22)+((IFERROR($D46,195)-195)*0.08)-((IFERROR($E46,95)-95)*0.07))),0))</x:f>
      </x:c>
      <x:c r="AE46" s="15" t="n">
        <x:f>IFERROR(='입력데이터'!S46,0)*0.4+IFERROR(='입력데이터'!AP46,0)*0.4+IFERROR(='입력데이터'!AO46,0)*0.5</x:f>
        <x:v>0</x:v>
      </x:c>
      <x:c r="AF46" s="15" t="n">
        <x:f>IFERROR(='입력데이터'!S46,0)*0.5+IFERROR(='입력데이터'!P46,0)*0.8+IFERROR(='입력데이터'!AG46,0)</x:f>
        <x:v>0</x:v>
      </x:c>
      <x:c r="AG46" s="15" t="n">
        <x:f>IFERROR(='입력데이터'!AJ46,0)*8+IFERROR(IFERROR(='입력데이터'!AJ46,0)/IFERROR(='입력데이터'!AK46,0),0)*30</x:f>
        <x:v>0</x:v>
      </x:c>
      <x:c r="AH46" s="15" t="n">
        <x:f>IFERROR(='입력데이터'!AJ46,0)*6+IFERROR(='입력데이터'!AH46,0)*4</x:f>
        <x:v>0</x:v>
      </x:c>
      <x:c r="AI46" s="15" t="n">
        <x:f>IFERROR(='입력데이터'!AP46,0)*0.4+IFERROR(='입력데이터'!AE46,0)*1.5+IFERROR(='입력데이터'!Q46,0)*1.5</x:f>
        <x:v>0</x:v>
      </x:c>
      <x:c r="AJ46" s="15" t="n">
        <x:f>MAX(0,IFERROR(='입력데이터'!P46,0)-IFERROR(='입력데이터'!Q46,0)*2-IFERROR(='입력데이터'!T46,0)*3-IFERROR(='입력데이터'!Z46,0))*1.5+IFERROR(='입력데이터'!Y46,0)*0.3</x:f>
        <x:v>0</x:v>
      </x:c>
      <x:c r="AK46" s="15" t="n">
        <x:f>IFERROR(='입력데이터'!V46,0)*0.6+IFERROR(='입력데이터'!U46,0)*2+IFERROR(='입력데이터'!T46,0)*3</x:f>
        <x:v>0</x:v>
      </x:c>
      <x:c r="AL46" s="15" t="n">
        <x:f>IFERROR(='입력데이터'!AB46,0)*0.7+IFERROR(='입력데이터'!AA46,0)*1.5</x:f>
        <x:v>0</x:v>
      </x:c>
      <x:c r="AM46" s="15" t="n">
        <x:f>IFERROR(='입력데이터'!AF46,0)*5+IFERROR(IFERROR(='입력데이터'!AF46,0)/IFERROR(='입력데이터'!AL46,0),0)*3+IFERROR(='입력데이터'!AT46,0)</x:f>
        <x:v>0</x:v>
      </x:c>
      <x:c r="AN46" s="15" t="n">
        <x:f>IFERROR(='입력데이터'!AF46,0)*3+IFERROR(='입력데이터'!AG46,0)*3+IFERROR(IFERROR(='입력데이터'!AF46,0)/IFERROR(='입력데이터'!AL46,0),0)*4</x:f>
        <x:v>0</x:v>
      </x:c>
      <x:c r="AO46" s="15" t="n">
        <x:f>IFERROR(='입력데이터'!AG46,0)*12+IFERROR(='입력데이터'!AU46,0)*6</x:f>
        <x:v>0</x:v>
      </x:c>
      <x:c r="AP46" s="15" t="n">
        <x:f>IFERROR(='입력데이터'!AH46,0)*14+IFERROR(='입력데이터'!AD46,0)</x:f>
        <x:v>0</x:v>
      </x:c>
      <x:c r="AQ46" s="15" t="n">
        <x:f>IFERROR(='입력데이터'!AC46,0)*10</x:f>
        <x:v>0</x:v>
      </x:c>
      <x:c r="AR46" s="15" t="n">
        <x:f>IFERROR(='입력데이터'!AD46,0)*7+IFERROR(='입력데이터'!AH46,0)*2</x:f>
        <x:v>0</x:v>
      </x:c>
      <x:c r="AS46" s="15" t="n">
        <x:f>IFERROR(='입력데이터'!AH46,0)*8+IFERROR(='입력데이터'!AD46,0)*2+IFERROR(='입력데이터'!AI46,0)*4</x:f>
        <x:v>0</x:v>
      </x:c>
      <x:c r="AT46" s="16" t="n">
        <x:f>IFERROR(='입력데이터'!AG46,0)*8+IFERROR(='입력데이터'!AI46,0)*5+IFERROR(='입력데이터'!AU46,0)*4</x:f>
        <x:v>0</x:v>
      </x:c>
    </x:row>
    <x:row r="47">
      <x:c r="A47" s="14" t="str">
        <x:f>IF('입력데이터'!$B47="","",'입력데이터'!A47)</x:f>
      </x:c>
      <x:c r="B47" s="15" t="str">
        <x:f>IF('입력데이터'!$B47="","",'입력데이터'!B47)</x:f>
      </x:c>
      <x:c r="C47" s="15" t="str">
        <x:f>IF('입력데이터'!$B47="","",'입력데이터'!K47)</x:f>
      </x:c>
      <x:c r="D47" s="15" t="str">
        <x:f>IF('입력데이터'!$B47="","",'입력데이터'!H47)</x:f>
      </x:c>
      <x:c r="E47" s="15" t="str">
        <x:f>IF('입력데이터'!$B47="","",'입력데이터'!I47)</x:f>
      </x:c>
      <x:c r="F47" s="15" t="str">
        <x:f>IF('입력데이터'!$B47="","",'입력데이터'!J47)</x:f>
      </x:c>
      <x:c r="G47" s="15" t="str">
        <x:f>IF('입력데이터'!$B47="","",'입력데이터'!L47)</x:f>
      </x:c>
      <x:c r="H47" s="15" t="str">
        <x:f>IF('입력데이터'!$B47="","",'입력데이터'!O47)</x:f>
      </x:c>
      <x:c r="I47" s="20" t="str">
        <x:f>IF($B47="", "", ROUND(MAX(30, MIN(99, IFERROR((AE47-MIN($AE$2:$AE$101))/(MAX($AE$2:$AE$101)-MIN($AE$2:$AE$101))*99,30))),0))</x:f>
      </x:c>
      <x:c r="J47" s="20" t="str">
        <x:f>IF($B47="", "", ROUND(MAX(30, MIN(99, IFERROR((AF47-MIN($AF$2:$AF$101))/(MAX($AF$2:$AF$101)-MIN($AF$2:$AF$101))*99,30))),0))</x:f>
      </x:c>
      <x:c r="K47" s="20" t="str">
        <x:f>IF($B47="", "", ROUND(MAX(30, MIN(99, IFERROR((AG47-MIN($AG$2:$AG$101))/(MAX($AG$2:$AG$101)-MIN($AG$2:$AG$101))*99,30))),0))</x:f>
      </x:c>
      <x:c r="L47" s="20" t="str">
        <x:f>IF($B47="", "", ROUND(MAX(30, MIN(99, IFERROR((AH47-MIN($AH$2:$AH$101))/(MAX($AH$2:$AH$101)-MIN($AH$2:$AH$101))*99,30))),0))</x:f>
      </x:c>
      <x:c r="M47" s="20" t="str">
        <x:f>IF($B47="", "", ROUND(MAX(30, MIN(99, IFERROR((AI47-MIN($AI$2:$AI$101))/(MAX($AI$2:$AI$101)-MIN($AI$2:$AI$101))*99,30))),0))</x:f>
      </x:c>
      <x:c r="N47" s="20" t="str">
        <x:f>IF($B47="", "", ROUND(MAX(30, MIN(99, IFERROR((AJ47-MIN($AJ$2:$AJ$101))/(MAX($AJ$2:$AJ$101)-MIN($AJ$2:$AJ$101))*99,30))),0))</x:f>
      </x:c>
      <x:c r="O47" s="20" t="str">
        <x:f>IF($B47="", "", ROUND(MAX(30, MIN(99, IFERROR((AK47-MIN($AK$2:$AK$101))/(MAX($AK$2:$AK$101)-MIN($AK$2:$AK$101))*99,30))),0))</x:f>
      </x:c>
      <x:c r="P47" s="20" t="str">
        <x:f>IF($B47="", "", ROUND(MAX(30, MIN(99, IFERROR((AL47-MIN($AL$2:$AL$101))/(MAX($AL$2:$AL$101)-MIN($AL$2:$AL$101))*99,30))),0))</x:f>
      </x:c>
      <x:c r="Q47" s="20" t="str">
        <x:f>IF($B47="", "", ROUND(MAX(30, MIN(99, IFERROR((AM47-MIN($AM$2:$AM$101))/(MAX($AM$2:$AM$101)-MIN($AM$2:$AM$101))*99,30))),0))</x:f>
      </x:c>
      <x:c r="R47" s="20" t="str">
        <x:f>IF($B47="", "", ROUND(MAX(30, MIN(99, IFERROR((AN47-MIN($AN$2:$AN$101))/(MAX($AN$2:$AN$101)-MIN($AN$2:$AN$101))*99,30))),0))</x:f>
      </x:c>
      <x:c r="S47" s="20" t="str">
        <x:f>IF($B47="", "", ROUND(MAX(30, MIN(99, IFERROR((AO47-MIN($AO$2:$AO$101))/(MAX($AO$2:$AO$101)-MIN($AO$2:$AO$101))*99,30))),0))</x:f>
      </x:c>
      <x:c r="T47" s="20" t="str">
        <x:f>IF($B47="", "", ROUND(MAX(30, MIN(99, IFERROR((AP47-MIN($AP$2:$AP$101))/(MAX($AP$2:$AP$101)-MIN($AP$2:$AP$101))*99,30))),0))</x:f>
      </x:c>
      <x:c r="U47" s="20" t="str">
        <x:f>IF($B47="", "", ROUND(MAX(30, MIN(99, IFERROR((AQ47-MIN($AQ$2:$AQ$101))/(MAX($AQ$2:$AQ$101)-MIN($AQ$2:$AQ$101))*99,30))),0))</x:f>
      </x:c>
      <x:c r="V47" s="20" t="str">
        <x:f>IF($B47="", "", ROUND(MAX(30, MIN(99, IFERROR((AR47-MIN($AR$2:$AR$101))/(MAX($AR$2:$AR$101)-MIN($AR$2:$AR$101))*99,30))),0))</x:f>
      </x:c>
      <x:c r="W47" s="20" t="str">
        <x:f>IF($B47="", "", ROUND(MAX(30, MIN(99, IFERROR((AS47-MIN($AS$2:$AS$101))/(MAX($AS$2:$AS$101)-MIN($AS$2:$AS$101))*99,30))),0))</x:f>
      </x:c>
      <x:c r="X47" s="20" t="str">
        <x:f>IF($B47="", "", ROUND(MAX(30, MIN(99, IFERROR((AT47-MIN($AT$2:$AT$101))/(MAX($AT$2:$AT$101)-MIN($AT$2:$AT$101))*99,30))),0))</x:f>
      </x:c>
      <x:c r="Y47" s="20" t="str">
        <x:f>IF($B47="","",ROUND(AVERAGE(I47:X47),0))</x:f>
      </x:c>
      <x:c r="Z47" s="20" t="str">
        <x:f>IF($B47="","",ROUND(MAX(30,MIN(99,IFS(ISNUMBER(SEARCH("PG",UPPER(SUBSTITUTE($C47,"/","-")))),84,ISNUMBER(SEARCH("SG",UPPER(SUBSTITUTE($C47,"/","-")))),76,ISNUMBER(SEARCH("SF",UPPER(SUBSTITUTE($C47,"/","-")))),68,ISNUMBER(SEARCH("PF",UPPER(SUBSTITUTE($C47,"/","-")))),55,ISNUMBER(SEARCH("C",UPPER(SUBSTITUTE($C47,"/","-")))),42,TRUE,65)+((195-IFERROR($D47,195))*0.15)+((95-IFERROR($E47,95))*0.08))),0))</x:f>
      </x:c>
      <x:c r="AA47" s="20" t="str">
        <x:f>IF($B47="","",ROUND(MAX(30,MIN(99,IFS(ISNUMBER(SEARCH("PG",UPPER(SUBSTITUTE($C47,"/","-")))),84,ISNUMBER(SEARCH("SG",UPPER(SUBSTITUTE($C47,"/","-")))),76,ISNUMBER(SEARCH("SF",UPPER(SUBSTITUTE($C47,"/","-")))),68,ISNUMBER(SEARCH("PF",UPPER(SUBSTITUTE($C47,"/","-")))),55,ISNUMBER(SEARCH("C",UPPER(SUBSTITUTE($C47,"/","-")))),42,TRUE,65)+((195-IFERROR($D47,195))*0.18)+((95-IFERROR($E47,95))*0.10))),0))</x:f>
      </x:c>
      <x:c r="AB47" s="20" t="str">
        <x:f>IF($B47="","",ROUND(MAX(30,MIN(99,IFS(ISNUMBER(SEARCH("PG",UPPER(SUBSTITUTE($C47,"/","-")))),84,ISNUMBER(SEARCH("SG",UPPER(SUBSTITUTE($C47,"/","-")))),76,ISNUMBER(SEARCH("SF",UPPER(SUBSTITUTE($C47,"/","-")))),68,ISNUMBER(SEARCH("PF",UPPER(SUBSTITUTE($C47,"/","-")))),55,ISNUMBER(SEARCH("C",UPPER(SUBSTITUTE($C47,"/","-")))),42,TRUE,65)+2+((195-IFERROR($D47,195))*0.14)+((95-IFERROR($E47,95))*0.09))),0))</x:f>
      </x:c>
      <x:c r="AC47" s="20" t="str">
        <x:f>IF($B47="","",ROUND(MAX(30,MIN(99,IFS(ISNUMBER(SEARCH("C",UPPER(SUBSTITUTE($C47,"/","-")))),92,ISNUMBER(SEARCH("PF",UPPER(SUBSTITUTE($C47,"/","-")))),82,ISNUMBER(SEARCH("SF",UPPER(SUBSTITUTE($C47,"/","-")))),64,ISNUMBER(SEARCH("SG",UPPER(SUBSTITUTE($C47,"/","-")))),48,ISNUMBER(SEARCH("PG",UPPER(SUBSTITUTE($C47,"/","-")))),36,TRUE,60)+((IFERROR($E47,95)-95)*0.45)+((IFERROR($D47,195)-195)*0.10)+((IFERROR($F47,200)-200)*0.08))),0))</x:f>
      </x:c>
      <x:c r="AD47" s="20" t="str">
        <x:f>IF($B47="","",ROUND(MAX(30,MIN(99,65+((IFERROR($F47,200)-200)*0.22)+((IFERROR($D47,195)-195)*0.08)-((IFERROR($E47,95)-95)*0.07))),0))</x:f>
      </x:c>
      <x:c r="AE47" s="15" t="n">
        <x:f>IFERROR(='입력데이터'!S47,0)*0.4+IFERROR(='입력데이터'!AP47,0)*0.4+IFERROR(='입력데이터'!AO47,0)*0.5</x:f>
        <x:v>0</x:v>
      </x:c>
      <x:c r="AF47" s="15" t="n">
        <x:f>IFERROR(='입력데이터'!S47,0)*0.5+IFERROR(='입력데이터'!P47,0)*0.8+IFERROR(='입력데이터'!AG47,0)</x:f>
        <x:v>0</x:v>
      </x:c>
      <x:c r="AG47" s="15" t="n">
        <x:f>IFERROR(='입력데이터'!AJ47,0)*8+IFERROR(IFERROR(='입력데이터'!AJ47,0)/IFERROR(='입력데이터'!AK47,0),0)*30</x:f>
        <x:v>0</x:v>
      </x:c>
      <x:c r="AH47" s="15" t="n">
        <x:f>IFERROR(='입력데이터'!AJ47,0)*6+IFERROR(='입력데이터'!AH47,0)*4</x:f>
        <x:v>0</x:v>
      </x:c>
      <x:c r="AI47" s="15" t="n">
        <x:f>IFERROR(='입력데이터'!AP47,0)*0.4+IFERROR(='입력데이터'!AE47,0)*1.5+IFERROR(='입력데이터'!Q47,0)*1.5</x:f>
        <x:v>0</x:v>
      </x:c>
      <x:c r="AJ47" s="15" t="n">
        <x:f>MAX(0,IFERROR(='입력데이터'!P47,0)-IFERROR(='입력데이터'!Q47,0)*2-IFERROR(='입력데이터'!T47,0)*3-IFERROR(='입력데이터'!Z47,0))*1.5+IFERROR(='입력데이터'!Y47,0)*0.3</x:f>
        <x:v>0</x:v>
      </x:c>
      <x:c r="AK47" s="15" t="n">
        <x:f>IFERROR(='입력데이터'!V47,0)*0.6+IFERROR(='입력데이터'!U47,0)*2+IFERROR(='입력데이터'!T47,0)*3</x:f>
        <x:v>0</x:v>
      </x:c>
      <x:c r="AL47" s="15" t="n">
        <x:f>IFERROR(='입력데이터'!AB47,0)*0.7+IFERROR(='입력데이터'!AA47,0)*1.5</x:f>
        <x:v>0</x:v>
      </x:c>
      <x:c r="AM47" s="15" t="n">
        <x:f>IFERROR(='입력데이터'!AF47,0)*5+IFERROR(IFERROR(='입력데이터'!AF47,0)/IFERROR(='입력데이터'!AL47,0),0)*3+IFERROR(='입력데이터'!AT47,0)</x:f>
        <x:v>0</x:v>
      </x:c>
      <x:c r="AN47" s="15" t="n">
        <x:f>IFERROR(='입력데이터'!AF47,0)*3+IFERROR(='입력데이터'!AG47,0)*3+IFERROR(IFERROR(='입력데이터'!AF47,0)/IFERROR(='입력데이터'!AL47,0),0)*4</x:f>
        <x:v>0</x:v>
      </x:c>
      <x:c r="AO47" s="15" t="n">
        <x:f>IFERROR(='입력데이터'!AG47,0)*12+IFERROR(='입력데이터'!AU47,0)*6</x:f>
        <x:v>0</x:v>
      </x:c>
      <x:c r="AP47" s="15" t="n">
        <x:f>IFERROR(='입력데이터'!AH47,0)*14+IFERROR(='입력데이터'!AD47,0)</x:f>
        <x:v>0</x:v>
      </x:c>
      <x:c r="AQ47" s="15" t="n">
        <x:f>IFERROR(='입력데이터'!AC47,0)*10</x:f>
        <x:v>0</x:v>
      </x:c>
      <x:c r="AR47" s="15" t="n">
        <x:f>IFERROR(='입력데이터'!AD47,0)*7+IFERROR(='입력데이터'!AH47,0)*2</x:f>
        <x:v>0</x:v>
      </x:c>
      <x:c r="AS47" s="15" t="n">
        <x:f>IFERROR(='입력데이터'!AH47,0)*8+IFERROR(='입력데이터'!AD47,0)*2+IFERROR(='입력데이터'!AI47,0)*4</x:f>
        <x:v>0</x:v>
      </x:c>
      <x:c r="AT47" s="16" t="n">
        <x:f>IFERROR(='입력데이터'!AG47,0)*8+IFERROR(='입력데이터'!AI47,0)*5+IFERROR(='입력데이터'!AU47,0)*4</x:f>
        <x:v>0</x:v>
      </x:c>
    </x:row>
    <x:row r="48">
      <x:c r="A48" s="14" t="str">
        <x:f>IF('입력데이터'!$B48="","",'입력데이터'!A48)</x:f>
      </x:c>
      <x:c r="B48" s="15" t="str">
        <x:f>IF('입력데이터'!$B48="","",'입력데이터'!B48)</x:f>
      </x:c>
      <x:c r="C48" s="15" t="str">
        <x:f>IF('입력데이터'!$B48="","",'입력데이터'!K48)</x:f>
      </x:c>
      <x:c r="D48" s="15" t="str">
        <x:f>IF('입력데이터'!$B48="","",'입력데이터'!H48)</x:f>
      </x:c>
      <x:c r="E48" s="15" t="str">
        <x:f>IF('입력데이터'!$B48="","",'입력데이터'!I48)</x:f>
      </x:c>
      <x:c r="F48" s="15" t="str">
        <x:f>IF('입력데이터'!$B48="","",'입력데이터'!J48)</x:f>
      </x:c>
      <x:c r="G48" s="15" t="str">
        <x:f>IF('입력데이터'!$B48="","",'입력데이터'!L48)</x:f>
      </x:c>
      <x:c r="H48" s="15" t="str">
        <x:f>IF('입력데이터'!$B48="","",'입력데이터'!O48)</x:f>
      </x:c>
      <x:c r="I48" s="20" t="str">
        <x:f>IF($B48="", "", ROUND(MAX(30, MIN(99, IFERROR((AE48-MIN($AE$2:$AE$101))/(MAX($AE$2:$AE$101)-MIN($AE$2:$AE$101))*99,30))),0))</x:f>
      </x:c>
      <x:c r="J48" s="20" t="str">
        <x:f>IF($B48="", "", ROUND(MAX(30, MIN(99, IFERROR((AF48-MIN($AF$2:$AF$101))/(MAX($AF$2:$AF$101)-MIN($AF$2:$AF$101))*99,30))),0))</x:f>
      </x:c>
      <x:c r="K48" s="20" t="str">
        <x:f>IF($B48="", "", ROUND(MAX(30, MIN(99, IFERROR((AG48-MIN($AG$2:$AG$101))/(MAX($AG$2:$AG$101)-MIN($AG$2:$AG$101))*99,30))),0))</x:f>
      </x:c>
      <x:c r="L48" s="20" t="str">
        <x:f>IF($B48="", "", ROUND(MAX(30, MIN(99, IFERROR((AH48-MIN($AH$2:$AH$101))/(MAX($AH$2:$AH$101)-MIN($AH$2:$AH$101))*99,30))),0))</x:f>
      </x:c>
      <x:c r="M48" s="20" t="str">
        <x:f>IF($B48="", "", ROUND(MAX(30, MIN(99, IFERROR((AI48-MIN($AI$2:$AI$101))/(MAX($AI$2:$AI$101)-MIN($AI$2:$AI$101))*99,30))),0))</x:f>
      </x:c>
      <x:c r="N48" s="20" t="str">
        <x:f>IF($B48="", "", ROUND(MAX(30, MIN(99, IFERROR((AJ48-MIN($AJ$2:$AJ$101))/(MAX($AJ$2:$AJ$101)-MIN($AJ$2:$AJ$101))*99,30))),0))</x:f>
      </x:c>
      <x:c r="O48" s="20" t="str">
        <x:f>IF($B48="", "", ROUND(MAX(30, MIN(99, IFERROR((AK48-MIN($AK$2:$AK$101))/(MAX($AK$2:$AK$101)-MIN($AK$2:$AK$101))*99,30))),0))</x:f>
      </x:c>
      <x:c r="P48" s="20" t="str">
        <x:f>IF($B48="", "", ROUND(MAX(30, MIN(99, IFERROR((AL48-MIN($AL$2:$AL$101))/(MAX($AL$2:$AL$101)-MIN($AL$2:$AL$101))*99,30))),0))</x:f>
      </x:c>
      <x:c r="Q48" s="20" t="str">
        <x:f>IF($B48="", "", ROUND(MAX(30, MIN(99, IFERROR((AM48-MIN($AM$2:$AM$101))/(MAX($AM$2:$AM$101)-MIN($AM$2:$AM$101))*99,30))),0))</x:f>
      </x:c>
      <x:c r="R48" s="20" t="str">
        <x:f>IF($B48="", "", ROUND(MAX(30, MIN(99, IFERROR((AN48-MIN($AN$2:$AN$101))/(MAX($AN$2:$AN$101)-MIN($AN$2:$AN$101))*99,30))),0))</x:f>
      </x:c>
      <x:c r="S48" s="20" t="str">
        <x:f>IF($B48="", "", ROUND(MAX(30, MIN(99, IFERROR((AO48-MIN($AO$2:$AO$101))/(MAX($AO$2:$AO$101)-MIN($AO$2:$AO$101))*99,30))),0))</x:f>
      </x:c>
      <x:c r="T48" s="20" t="str">
        <x:f>IF($B48="", "", ROUND(MAX(30, MIN(99, IFERROR((AP48-MIN($AP$2:$AP$101))/(MAX($AP$2:$AP$101)-MIN($AP$2:$AP$101))*99,30))),0))</x:f>
      </x:c>
      <x:c r="U48" s="20" t="str">
        <x:f>IF($B48="", "", ROUND(MAX(30, MIN(99, IFERROR((AQ48-MIN($AQ$2:$AQ$101))/(MAX($AQ$2:$AQ$101)-MIN($AQ$2:$AQ$101))*99,30))),0))</x:f>
      </x:c>
      <x:c r="V48" s="20" t="str">
        <x:f>IF($B48="", "", ROUND(MAX(30, MIN(99, IFERROR((AR48-MIN($AR$2:$AR$101))/(MAX($AR$2:$AR$101)-MIN($AR$2:$AR$101))*99,30))),0))</x:f>
      </x:c>
      <x:c r="W48" s="20" t="str">
        <x:f>IF($B48="", "", ROUND(MAX(30, MIN(99, IFERROR((AS48-MIN($AS$2:$AS$101))/(MAX($AS$2:$AS$101)-MIN($AS$2:$AS$101))*99,30))),0))</x:f>
      </x:c>
      <x:c r="X48" s="20" t="str">
        <x:f>IF($B48="", "", ROUND(MAX(30, MIN(99, IFERROR((AT48-MIN($AT$2:$AT$101))/(MAX($AT$2:$AT$101)-MIN($AT$2:$AT$101))*99,30))),0))</x:f>
      </x:c>
      <x:c r="Y48" s="20" t="str">
        <x:f>IF($B48="","",ROUND(AVERAGE(I48:X48),0))</x:f>
      </x:c>
      <x:c r="Z48" s="20" t="str">
        <x:f>IF($B48="","",ROUND(MAX(30,MIN(99,IFS(ISNUMBER(SEARCH("PG",UPPER(SUBSTITUTE($C48,"/","-")))),84,ISNUMBER(SEARCH("SG",UPPER(SUBSTITUTE($C48,"/","-")))),76,ISNUMBER(SEARCH("SF",UPPER(SUBSTITUTE($C48,"/","-")))),68,ISNUMBER(SEARCH("PF",UPPER(SUBSTITUTE($C48,"/","-")))),55,ISNUMBER(SEARCH("C",UPPER(SUBSTITUTE($C48,"/","-")))),42,TRUE,65)+((195-IFERROR($D48,195))*0.15)+((95-IFERROR($E48,95))*0.08))),0))</x:f>
      </x:c>
      <x:c r="AA48" s="20" t="str">
        <x:f>IF($B48="","",ROUND(MAX(30,MIN(99,IFS(ISNUMBER(SEARCH("PG",UPPER(SUBSTITUTE($C48,"/","-")))),84,ISNUMBER(SEARCH("SG",UPPER(SUBSTITUTE($C48,"/","-")))),76,ISNUMBER(SEARCH("SF",UPPER(SUBSTITUTE($C48,"/","-")))),68,ISNUMBER(SEARCH("PF",UPPER(SUBSTITUTE($C48,"/","-")))),55,ISNUMBER(SEARCH("C",UPPER(SUBSTITUTE($C48,"/","-")))),42,TRUE,65)+((195-IFERROR($D48,195))*0.18)+((95-IFERROR($E48,95))*0.10))),0))</x:f>
      </x:c>
      <x:c r="AB48" s="20" t="str">
        <x:f>IF($B48="","",ROUND(MAX(30,MIN(99,IFS(ISNUMBER(SEARCH("PG",UPPER(SUBSTITUTE($C48,"/","-")))),84,ISNUMBER(SEARCH("SG",UPPER(SUBSTITUTE($C48,"/","-")))),76,ISNUMBER(SEARCH("SF",UPPER(SUBSTITUTE($C48,"/","-")))),68,ISNUMBER(SEARCH("PF",UPPER(SUBSTITUTE($C48,"/","-")))),55,ISNUMBER(SEARCH("C",UPPER(SUBSTITUTE($C48,"/","-")))),42,TRUE,65)+2+((195-IFERROR($D48,195))*0.14)+((95-IFERROR($E48,95))*0.09))),0))</x:f>
      </x:c>
      <x:c r="AC48" s="20" t="str">
        <x:f>IF($B48="","",ROUND(MAX(30,MIN(99,IFS(ISNUMBER(SEARCH("C",UPPER(SUBSTITUTE($C48,"/","-")))),92,ISNUMBER(SEARCH("PF",UPPER(SUBSTITUTE($C48,"/","-")))),82,ISNUMBER(SEARCH("SF",UPPER(SUBSTITUTE($C48,"/","-")))),64,ISNUMBER(SEARCH("SG",UPPER(SUBSTITUTE($C48,"/","-")))),48,ISNUMBER(SEARCH("PG",UPPER(SUBSTITUTE($C48,"/","-")))),36,TRUE,60)+((IFERROR($E48,95)-95)*0.45)+((IFERROR($D48,195)-195)*0.10)+((IFERROR($F48,200)-200)*0.08))),0))</x:f>
      </x:c>
      <x:c r="AD48" s="20" t="str">
        <x:f>IF($B48="","",ROUND(MAX(30,MIN(99,65+((IFERROR($F48,200)-200)*0.22)+((IFERROR($D48,195)-195)*0.08)-((IFERROR($E48,95)-95)*0.07))),0))</x:f>
      </x:c>
      <x:c r="AE48" s="15" t="n">
        <x:f>IFERROR(='입력데이터'!S48,0)*0.4+IFERROR(='입력데이터'!AP48,0)*0.4+IFERROR(='입력데이터'!AO48,0)*0.5</x:f>
        <x:v>0</x:v>
      </x:c>
      <x:c r="AF48" s="15" t="n">
        <x:f>IFERROR(='입력데이터'!S48,0)*0.5+IFERROR(='입력데이터'!P48,0)*0.8+IFERROR(='입력데이터'!AG48,0)</x:f>
        <x:v>0</x:v>
      </x:c>
      <x:c r="AG48" s="15" t="n">
        <x:f>IFERROR(='입력데이터'!AJ48,0)*8+IFERROR(IFERROR(='입력데이터'!AJ48,0)/IFERROR(='입력데이터'!AK48,0),0)*30</x:f>
        <x:v>0</x:v>
      </x:c>
      <x:c r="AH48" s="15" t="n">
        <x:f>IFERROR(='입력데이터'!AJ48,0)*6+IFERROR(='입력데이터'!AH48,0)*4</x:f>
        <x:v>0</x:v>
      </x:c>
      <x:c r="AI48" s="15" t="n">
        <x:f>IFERROR(='입력데이터'!AP48,0)*0.4+IFERROR(='입력데이터'!AE48,0)*1.5+IFERROR(='입력데이터'!Q48,0)*1.5</x:f>
        <x:v>0</x:v>
      </x:c>
      <x:c r="AJ48" s="15" t="n">
        <x:f>MAX(0,IFERROR(='입력데이터'!P48,0)-IFERROR(='입력데이터'!Q48,0)*2-IFERROR(='입력데이터'!T48,0)*3-IFERROR(='입력데이터'!Z48,0))*1.5+IFERROR(='입력데이터'!Y48,0)*0.3</x:f>
        <x:v>0</x:v>
      </x:c>
      <x:c r="AK48" s="15" t="n">
        <x:f>IFERROR(='입력데이터'!V48,0)*0.6+IFERROR(='입력데이터'!U48,0)*2+IFERROR(='입력데이터'!T48,0)*3</x:f>
        <x:v>0</x:v>
      </x:c>
      <x:c r="AL48" s="15" t="n">
        <x:f>IFERROR(='입력데이터'!AB48,0)*0.7+IFERROR(='입력데이터'!AA48,0)*1.5</x:f>
        <x:v>0</x:v>
      </x:c>
      <x:c r="AM48" s="15" t="n">
        <x:f>IFERROR(='입력데이터'!AF48,0)*5+IFERROR(IFERROR(='입력데이터'!AF48,0)/IFERROR(='입력데이터'!AL48,0),0)*3+IFERROR(='입력데이터'!AT48,0)</x:f>
        <x:v>0</x:v>
      </x:c>
      <x:c r="AN48" s="15" t="n">
        <x:f>IFERROR(='입력데이터'!AF48,0)*3+IFERROR(='입력데이터'!AG48,0)*3+IFERROR(IFERROR(='입력데이터'!AF48,0)/IFERROR(='입력데이터'!AL48,0),0)*4</x:f>
        <x:v>0</x:v>
      </x:c>
      <x:c r="AO48" s="15" t="n">
        <x:f>IFERROR(='입력데이터'!AG48,0)*12+IFERROR(='입력데이터'!AU48,0)*6</x:f>
        <x:v>0</x:v>
      </x:c>
      <x:c r="AP48" s="15" t="n">
        <x:f>IFERROR(='입력데이터'!AH48,0)*14+IFERROR(='입력데이터'!AD48,0)</x:f>
        <x:v>0</x:v>
      </x:c>
      <x:c r="AQ48" s="15" t="n">
        <x:f>IFERROR(='입력데이터'!AC48,0)*10</x:f>
        <x:v>0</x:v>
      </x:c>
      <x:c r="AR48" s="15" t="n">
        <x:f>IFERROR(='입력데이터'!AD48,0)*7+IFERROR(='입력데이터'!AH48,0)*2</x:f>
        <x:v>0</x:v>
      </x:c>
      <x:c r="AS48" s="15" t="n">
        <x:f>IFERROR(='입력데이터'!AH48,0)*8+IFERROR(='입력데이터'!AD48,0)*2+IFERROR(='입력데이터'!AI48,0)*4</x:f>
        <x:v>0</x:v>
      </x:c>
      <x:c r="AT48" s="16" t="n">
        <x:f>IFERROR(='입력데이터'!AG48,0)*8+IFERROR(='입력데이터'!AI48,0)*5+IFERROR(='입력데이터'!AU48,0)*4</x:f>
        <x:v>0</x:v>
      </x:c>
    </x:row>
    <x:row r="49">
      <x:c r="A49" s="14" t="str">
        <x:f>IF('입력데이터'!$B49="","",'입력데이터'!A49)</x:f>
      </x:c>
      <x:c r="B49" s="15" t="str">
        <x:f>IF('입력데이터'!$B49="","",'입력데이터'!B49)</x:f>
      </x:c>
      <x:c r="C49" s="15" t="str">
        <x:f>IF('입력데이터'!$B49="","",'입력데이터'!K49)</x:f>
      </x:c>
      <x:c r="D49" s="15" t="str">
        <x:f>IF('입력데이터'!$B49="","",'입력데이터'!H49)</x:f>
      </x:c>
      <x:c r="E49" s="15" t="str">
        <x:f>IF('입력데이터'!$B49="","",'입력데이터'!I49)</x:f>
      </x:c>
      <x:c r="F49" s="15" t="str">
        <x:f>IF('입력데이터'!$B49="","",'입력데이터'!J49)</x:f>
      </x:c>
      <x:c r="G49" s="15" t="str">
        <x:f>IF('입력데이터'!$B49="","",'입력데이터'!L49)</x:f>
      </x:c>
      <x:c r="H49" s="15" t="str">
        <x:f>IF('입력데이터'!$B49="","",'입력데이터'!O49)</x:f>
      </x:c>
      <x:c r="I49" s="20" t="str">
        <x:f>IF($B49="", "", ROUND(MAX(30, MIN(99, IFERROR((AE49-MIN($AE$2:$AE$101))/(MAX($AE$2:$AE$101)-MIN($AE$2:$AE$101))*99,30))),0))</x:f>
      </x:c>
      <x:c r="J49" s="20" t="str">
        <x:f>IF($B49="", "", ROUND(MAX(30, MIN(99, IFERROR((AF49-MIN($AF$2:$AF$101))/(MAX($AF$2:$AF$101)-MIN($AF$2:$AF$101))*99,30))),0))</x:f>
      </x:c>
      <x:c r="K49" s="20" t="str">
        <x:f>IF($B49="", "", ROUND(MAX(30, MIN(99, IFERROR((AG49-MIN($AG$2:$AG$101))/(MAX($AG$2:$AG$101)-MIN($AG$2:$AG$101))*99,30))),0))</x:f>
      </x:c>
      <x:c r="L49" s="20" t="str">
        <x:f>IF($B49="", "", ROUND(MAX(30, MIN(99, IFERROR((AH49-MIN($AH$2:$AH$101))/(MAX($AH$2:$AH$101)-MIN($AH$2:$AH$101))*99,30))),0))</x:f>
      </x:c>
      <x:c r="M49" s="20" t="str">
        <x:f>IF($B49="", "", ROUND(MAX(30, MIN(99, IFERROR((AI49-MIN($AI$2:$AI$101))/(MAX($AI$2:$AI$101)-MIN($AI$2:$AI$101))*99,30))),0))</x:f>
      </x:c>
      <x:c r="N49" s="20" t="str">
        <x:f>IF($B49="", "", ROUND(MAX(30, MIN(99, IFERROR((AJ49-MIN($AJ$2:$AJ$101))/(MAX($AJ$2:$AJ$101)-MIN($AJ$2:$AJ$101))*99,30))),0))</x:f>
      </x:c>
      <x:c r="O49" s="20" t="str">
        <x:f>IF($B49="", "", ROUND(MAX(30, MIN(99, IFERROR((AK49-MIN($AK$2:$AK$101))/(MAX($AK$2:$AK$101)-MIN($AK$2:$AK$101))*99,30))),0))</x:f>
      </x:c>
      <x:c r="P49" s="20" t="str">
        <x:f>IF($B49="", "", ROUND(MAX(30, MIN(99, IFERROR((AL49-MIN($AL$2:$AL$101))/(MAX($AL$2:$AL$101)-MIN($AL$2:$AL$101))*99,30))),0))</x:f>
      </x:c>
      <x:c r="Q49" s="20" t="str">
        <x:f>IF($B49="", "", ROUND(MAX(30, MIN(99, IFERROR((AM49-MIN($AM$2:$AM$101))/(MAX($AM$2:$AM$101)-MIN($AM$2:$AM$101))*99,30))),0))</x:f>
      </x:c>
      <x:c r="R49" s="20" t="str">
        <x:f>IF($B49="", "", ROUND(MAX(30, MIN(99, IFERROR((AN49-MIN($AN$2:$AN$101))/(MAX($AN$2:$AN$101)-MIN($AN$2:$AN$101))*99,30))),0))</x:f>
      </x:c>
      <x:c r="S49" s="20" t="str">
        <x:f>IF($B49="", "", ROUND(MAX(30, MIN(99, IFERROR((AO49-MIN($AO$2:$AO$101))/(MAX($AO$2:$AO$101)-MIN($AO$2:$AO$101))*99,30))),0))</x:f>
      </x:c>
      <x:c r="T49" s="20" t="str">
        <x:f>IF($B49="", "", ROUND(MAX(30, MIN(99, IFERROR((AP49-MIN($AP$2:$AP$101))/(MAX($AP$2:$AP$101)-MIN($AP$2:$AP$101))*99,30))),0))</x:f>
      </x:c>
      <x:c r="U49" s="20" t="str">
        <x:f>IF($B49="", "", ROUND(MAX(30, MIN(99, IFERROR((AQ49-MIN($AQ$2:$AQ$101))/(MAX($AQ$2:$AQ$101)-MIN($AQ$2:$AQ$101))*99,30))),0))</x:f>
      </x:c>
      <x:c r="V49" s="20" t="str">
        <x:f>IF($B49="", "", ROUND(MAX(30, MIN(99, IFERROR((AR49-MIN($AR$2:$AR$101))/(MAX($AR$2:$AR$101)-MIN($AR$2:$AR$101))*99,30))),0))</x:f>
      </x:c>
      <x:c r="W49" s="20" t="str">
        <x:f>IF($B49="", "", ROUND(MAX(30, MIN(99, IFERROR((AS49-MIN($AS$2:$AS$101))/(MAX($AS$2:$AS$101)-MIN($AS$2:$AS$101))*99,30))),0))</x:f>
      </x:c>
      <x:c r="X49" s="20" t="str">
        <x:f>IF($B49="", "", ROUND(MAX(30, MIN(99, IFERROR((AT49-MIN($AT$2:$AT$101))/(MAX($AT$2:$AT$101)-MIN($AT$2:$AT$101))*99,30))),0))</x:f>
      </x:c>
      <x:c r="Y49" s="20" t="str">
        <x:f>IF($B49="","",ROUND(AVERAGE(I49:X49),0))</x:f>
      </x:c>
      <x:c r="Z49" s="20" t="str">
        <x:f>IF($B49="","",ROUND(MAX(30,MIN(99,IFS(ISNUMBER(SEARCH("PG",UPPER(SUBSTITUTE($C49,"/","-")))),84,ISNUMBER(SEARCH("SG",UPPER(SUBSTITUTE($C49,"/","-")))),76,ISNUMBER(SEARCH("SF",UPPER(SUBSTITUTE($C49,"/","-")))),68,ISNUMBER(SEARCH("PF",UPPER(SUBSTITUTE($C49,"/","-")))),55,ISNUMBER(SEARCH("C",UPPER(SUBSTITUTE($C49,"/","-")))),42,TRUE,65)+((195-IFERROR($D49,195))*0.15)+((95-IFERROR($E49,95))*0.08))),0))</x:f>
      </x:c>
      <x:c r="AA49" s="20" t="str">
        <x:f>IF($B49="","",ROUND(MAX(30,MIN(99,IFS(ISNUMBER(SEARCH("PG",UPPER(SUBSTITUTE($C49,"/","-")))),84,ISNUMBER(SEARCH("SG",UPPER(SUBSTITUTE($C49,"/","-")))),76,ISNUMBER(SEARCH("SF",UPPER(SUBSTITUTE($C49,"/","-")))),68,ISNUMBER(SEARCH("PF",UPPER(SUBSTITUTE($C49,"/","-")))),55,ISNUMBER(SEARCH("C",UPPER(SUBSTITUTE($C49,"/","-")))),42,TRUE,65)+((195-IFERROR($D49,195))*0.18)+((95-IFERROR($E49,95))*0.10))),0))</x:f>
      </x:c>
      <x:c r="AB49" s="20" t="str">
        <x:f>IF($B49="","",ROUND(MAX(30,MIN(99,IFS(ISNUMBER(SEARCH("PG",UPPER(SUBSTITUTE($C49,"/","-")))),84,ISNUMBER(SEARCH("SG",UPPER(SUBSTITUTE($C49,"/","-")))),76,ISNUMBER(SEARCH("SF",UPPER(SUBSTITUTE($C49,"/","-")))),68,ISNUMBER(SEARCH("PF",UPPER(SUBSTITUTE($C49,"/","-")))),55,ISNUMBER(SEARCH("C",UPPER(SUBSTITUTE($C49,"/","-")))),42,TRUE,65)+2+((195-IFERROR($D49,195))*0.14)+((95-IFERROR($E49,95))*0.09))),0))</x:f>
      </x:c>
      <x:c r="AC49" s="20" t="str">
        <x:f>IF($B49="","",ROUND(MAX(30,MIN(99,IFS(ISNUMBER(SEARCH("C",UPPER(SUBSTITUTE($C49,"/","-")))),92,ISNUMBER(SEARCH("PF",UPPER(SUBSTITUTE($C49,"/","-")))),82,ISNUMBER(SEARCH("SF",UPPER(SUBSTITUTE($C49,"/","-")))),64,ISNUMBER(SEARCH("SG",UPPER(SUBSTITUTE($C49,"/","-")))),48,ISNUMBER(SEARCH("PG",UPPER(SUBSTITUTE($C49,"/","-")))),36,TRUE,60)+((IFERROR($E49,95)-95)*0.45)+((IFERROR($D49,195)-195)*0.10)+((IFERROR($F49,200)-200)*0.08))),0))</x:f>
      </x:c>
      <x:c r="AD49" s="20" t="str">
        <x:f>IF($B49="","",ROUND(MAX(30,MIN(99,65+((IFERROR($F49,200)-200)*0.22)+((IFERROR($D49,195)-195)*0.08)-((IFERROR($E49,95)-95)*0.07))),0))</x:f>
      </x:c>
      <x:c r="AE49" s="15" t="n">
        <x:f>IFERROR(='입력데이터'!S49,0)*0.4+IFERROR(='입력데이터'!AP49,0)*0.4+IFERROR(='입력데이터'!AO49,0)*0.5</x:f>
        <x:v>0</x:v>
      </x:c>
      <x:c r="AF49" s="15" t="n">
        <x:f>IFERROR(='입력데이터'!S49,0)*0.5+IFERROR(='입력데이터'!P49,0)*0.8+IFERROR(='입력데이터'!AG49,0)</x:f>
        <x:v>0</x:v>
      </x:c>
      <x:c r="AG49" s="15" t="n">
        <x:f>IFERROR(='입력데이터'!AJ49,0)*8+IFERROR(IFERROR(='입력데이터'!AJ49,0)/IFERROR(='입력데이터'!AK49,0),0)*30</x:f>
        <x:v>0</x:v>
      </x:c>
      <x:c r="AH49" s="15" t="n">
        <x:f>IFERROR(='입력데이터'!AJ49,0)*6+IFERROR(='입력데이터'!AH49,0)*4</x:f>
        <x:v>0</x:v>
      </x:c>
      <x:c r="AI49" s="15" t="n">
        <x:f>IFERROR(='입력데이터'!AP49,0)*0.4+IFERROR(='입력데이터'!AE49,0)*1.5+IFERROR(='입력데이터'!Q49,0)*1.5</x:f>
        <x:v>0</x:v>
      </x:c>
      <x:c r="AJ49" s="15" t="n">
        <x:f>MAX(0,IFERROR(='입력데이터'!P49,0)-IFERROR(='입력데이터'!Q49,0)*2-IFERROR(='입력데이터'!T49,0)*3-IFERROR(='입력데이터'!Z49,0))*1.5+IFERROR(='입력데이터'!Y49,0)*0.3</x:f>
        <x:v>0</x:v>
      </x:c>
      <x:c r="AK49" s="15" t="n">
        <x:f>IFERROR(='입력데이터'!V49,0)*0.6+IFERROR(='입력데이터'!U49,0)*2+IFERROR(='입력데이터'!T49,0)*3</x:f>
        <x:v>0</x:v>
      </x:c>
      <x:c r="AL49" s="15" t="n">
        <x:f>IFERROR(='입력데이터'!AB49,0)*0.7+IFERROR(='입력데이터'!AA49,0)*1.5</x:f>
        <x:v>0</x:v>
      </x:c>
      <x:c r="AM49" s="15" t="n">
        <x:f>IFERROR(='입력데이터'!AF49,0)*5+IFERROR(IFERROR(='입력데이터'!AF49,0)/IFERROR(='입력데이터'!AL49,0),0)*3+IFERROR(='입력데이터'!AT49,0)</x:f>
        <x:v>0</x:v>
      </x:c>
      <x:c r="AN49" s="15" t="n">
        <x:f>IFERROR(='입력데이터'!AF49,0)*3+IFERROR(='입력데이터'!AG49,0)*3+IFERROR(IFERROR(='입력데이터'!AF49,0)/IFERROR(='입력데이터'!AL49,0),0)*4</x:f>
        <x:v>0</x:v>
      </x:c>
      <x:c r="AO49" s="15" t="n">
        <x:f>IFERROR(='입력데이터'!AG49,0)*12+IFERROR(='입력데이터'!AU49,0)*6</x:f>
        <x:v>0</x:v>
      </x:c>
      <x:c r="AP49" s="15" t="n">
        <x:f>IFERROR(='입력데이터'!AH49,0)*14+IFERROR(='입력데이터'!AD49,0)</x:f>
        <x:v>0</x:v>
      </x:c>
      <x:c r="AQ49" s="15" t="n">
        <x:f>IFERROR(='입력데이터'!AC49,0)*10</x:f>
        <x:v>0</x:v>
      </x:c>
      <x:c r="AR49" s="15" t="n">
        <x:f>IFERROR(='입력데이터'!AD49,0)*7+IFERROR(='입력데이터'!AH49,0)*2</x:f>
        <x:v>0</x:v>
      </x:c>
      <x:c r="AS49" s="15" t="n">
        <x:f>IFERROR(='입력데이터'!AH49,0)*8+IFERROR(='입력데이터'!AD49,0)*2+IFERROR(='입력데이터'!AI49,0)*4</x:f>
        <x:v>0</x:v>
      </x:c>
      <x:c r="AT49" s="16" t="n">
        <x:f>IFERROR(='입력데이터'!AG49,0)*8+IFERROR(='입력데이터'!AI49,0)*5+IFERROR(='입력데이터'!AU49,0)*4</x:f>
        <x:v>0</x:v>
      </x:c>
    </x:row>
    <x:row r="50">
      <x:c r="A50" s="14" t="str">
        <x:f>IF('입력데이터'!$B50="","",'입력데이터'!A50)</x:f>
      </x:c>
      <x:c r="B50" s="15" t="str">
        <x:f>IF('입력데이터'!$B50="","",'입력데이터'!B50)</x:f>
      </x:c>
      <x:c r="C50" s="15" t="str">
        <x:f>IF('입력데이터'!$B50="","",'입력데이터'!K50)</x:f>
      </x:c>
      <x:c r="D50" s="15" t="str">
        <x:f>IF('입력데이터'!$B50="","",'입력데이터'!H50)</x:f>
      </x:c>
      <x:c r="E50" s="15" t="str">
        <x:f>IF('입력데이터'!$B50="","",'입력데이터'!I50)</x:f>
      </x:c>
      <x:c r="F50" s="15" t="str">
        <x:f>IF('입력데이터'!$B50="","",'입력데이터'!J50)</x:f>
      </x:c>
      <x:c r="G50" s="15" t="str">
        <x:f>IF('입력데이터'!$B50="","",'입력데이터'!L50)</x:f>
      </x:c>
      <x:c r="H50" s="15" t="str">
        <x:f>IF('입력데이터'!$B50="","",'입력데이터'!O50)</x:f>
      </x:c>
      <x:c r="I50" s="20" t="str">
        <x:f>IF($B50="", "", ROUND(MAX(30, MIN(99, IFERROR((AE50-MIN($AE$2:$AE$101))/(MAX($AE$2:$AE$101)-MIN($AE$2:$AE$101))*99,30))),0))</x:f>
      </x:c>
      <x:c r="J50" s="20" t="str">
        <x:f>IF($B50="", "", ROUND(MAX(30, MIN(99, IFERROR((AF50-MIN($AF$2:$AF$101))/(MAX($AF$2:$AF$101)-MIN($AF$2:$AF$101))*99,30))),0))</x:f>
      </x:c>
      <x:c r="K50" s="20" t="str">
        <x:f>IF($B50="", "", ROUND(MAX(30, MIN(99, IFERROR((AG50-MIN($AG$2:$AG$101))/(MAX($AG$2:$AG$101)-MIN($AG$2:$AG$101))*99,30))),0))</x:f>
      </x:c>
      <x:c r="L50" s="20" t="str">
        <x:f>IF($B50="", "", ROUND(MAX(30, MIN(99, IFERROR((AH50-MIN($AH$2:$AH$101))/(MAX($AH$2:$AH$101)-MIN($AH$2:$AH$101))*99,30))),0))</x:f>
      </x:c>
      <x:c r="M50" s="20" t="str">
        <x:f>IF($B50="", "", ROUND(MAX(30, MIN(99, IFERROR((AI50-MIN($AI$2:$AI$101))/(MAX($AI$2:$AI$101)-MIN($AI$2:$AI$101))*99,30))),0))</x:f>
      </x:c>
      <x:c r="N50" s="20" t="str">
        <x:f>IF($B50="", "", ROUND(MAX(30, MIN(99, IFERROR((AJ50-MIN($AJ$2:$AJ$101))/(MAX($AJ$2:$AJ$101)-MIN($AJ$2:$AJ$101))*99,30))),0))</x:f>
      </x:c>
      <x:c r="O50" s="20" t="str">
        <x:f>IF($B50="", "", ROUND(MAX(30, MIN(99, IFERROR((AK50-MIN($AK$2:$AK$101))/(MAX($AK$2:$AK$101)-MIN($AK$2:$AK$101))*99,30))),0))</x:f>
      </x:c>
      <x:c r="P50" s="20" t="str">
        <x:f>IF($B50="", "", ROUND(MAX(30, MIN(99, IFERROR((AL50-MIN($AL$2:$AL$101))/(MAX($AL$2:$AL$101)-MIN($AL$2:$AL$101))*99,30))),0))</x:f>
      </x:c>
      <x:c r="Q50" s="20" t="str">
        <x:f>IF($B50="", "", ROUND(MAX(30, MIN(99, IFERROR((AM50-MIN($AM$2:$AM$101))/(MAX($AM$2:$AM$101)-MIN($AM$2:$AM$101))*99,30))),0))</x:f>
      </x:c>
      <x:c r="R50" s="20" t="str">
        <x:f>IF($B50="", "", ROUND(MAX(30, MIN(99, IFERROR((AN50-MIN($AN$2:$AN$101))/(MAX($AN$2:$AN$101)-MIN($AN$2:$AN$101))*99,30))),0))</x:f>
      </x:c>
      <x:c r="S50" s="20" t="str">
        <x:f>IF($B50="", "", ROUND(MAX(30, MIN(99, IFERROR((AO50-MIN($AO$2:$AO$101))/(MAX($AO$2:$AO$101)-MIN($AO$2:$AO$101))*99,30))),0))</x:f>
      </x:c>
      <x:c r="T50" s="20" t="str">
        <x:f>IF($B50="", "", ROUND(MAX(30, MIN(99, IFERROR((AP50-MIN($AP$2:$AP$101))/(MAX($AP$2:$AP$101)-MIN($AP$2:$AP$101))*99,30))),0))</x:f>
      </x:c>
      <x:c r="U50" s="20" t="str">
        <x:f>IF($B50="", "", ROUND(MAX(30, MIN(99, IFERROR((AQ50-MIN($AQ$2:$AQ$101))/(MAX($AQ$2:$AQ$101)-MIN($AQ$2:$AQ$101))*99,30))),0))</x:f>
      </x:c>
      <x:c r="V50" s="20" t="str">
        <x:f>IF($B50="", "", ROUND(MAX(30, MIN(99, IFERROR((AR50-MIN($AR$2:$AR$101))/(MAX($AR$2:$AR$101)-MIN($AR$2:$AR$101))*99,30))),0))</x:f>
      </x:c>
      <x:c r="W50" s="20" t="str">
        <x:f>IF($B50="", "", ROUND(MAX(30, MIN(99, IFERROR((AS50-MIN($AS$2:$AS$101))/(MAX($AS$2:$AS$101)-MIN($AS$2:$AS$101))*99,30))),0))</x:f>
      </x:c>
      <x:c r="X50" s="20" t="str">
        <x:f>IF($B50="", "", ROUND(MAX(30, MIN(99, IFERROR((AT50-MIN($AT$2:$AT$101))/(MAX($AT$2:$AT$101)-MIN($AT$2:$AT$101))*99,30))),0))</x:f>
      </x:c>
      <x:c r="Y50" s="20" t="str">
        <x:f>IF($B50="","",ROUND(AVERAGE(I50:X50),0))</x:f>
      </x:c>
      <x:c r="Z50" s="20" t="str">
        <x:f>IF($B50="","",ROUND(MAX(30,MIN(99,IFS(ISNUMBER(SEARCH("PG",UPPER(SUBSTITUTE($C50,"/","-")))),84,ISNUMBER(SEARCH("SG",UPPER(SUBSTITUTE($C50,"/","-")))),76,ISNUMBER(SEARCH("SF",UPPER(SUBSTITUTE($C50,"/","-")))),68,ISNUMBER(SEARCH("PF",UPPER(SUBSTITUTE($C50,"/","-")))),55,ISNUMBER(SEARCH("C",UPPER(SUBSTITUTE($C50,"/","-")))),42,TRUE,65)+((195-IFERROR($D50,195))*0.15)+((95-IFERROR($E50,95))*0.08))),0))</x:f>
      </x:c>
      <x:c r="AA50" s="20" t="str">
        <x:f>IF($B50="","",ROUND(MAX(30,MIN(99,IFS(ISNUMBER(SEARCH("PG",UPPER(SUBSTITUTE($C50,"/","-")))),84,ISNUMBER(SEARCH("SG",UPPER(SUBSTITUTE($C50,"/","-")))),76,ISNUMBER(SEARCH("SF",UPPER(SUBSTITUTE($C50,"/","-")))),68,ISNUMBER(SEARCH("PF",UPPER(SUBSTITUTE($C50,"/","-")))),55,ISNUMBER(SEARCH("C",UPPER(SUBSTITUTE($C50,"/","-")))),42,TRUE,65)+((195-IFERROR($D50,195))*0.18)+((95-IFERROR($E50,95))*0.10))),0))</x:f>
      </x:c>
      <x:c r="AB50" s="20" t="str">
        <x:f>IF($B50="","",ROUND(MAX(30,MIN(99,IFS(ISNUMBER(SEARCH("PG",UPPER(SUBSTITUTE($C50,"/","-")))),84,ISNUMBER(SEARCH("SG",UPPER(SUBSTITUTE($C50,"/","-")))),76,ISNUMBER(SEARCH("SF",UPPER(SUBSTITUTE($C50,"/","-")))),68,ISNUMBER(SEARCH("PF",UPPER(SUBSTITUTE($C50,"/","-")))),55,ISNUMBER(SEARCH("C",UPPER(SUBSTITUTE($C50,"/","-")))),42,TRUE,65)+2+((195-IFERROR($D50,195))*0.14)+((95-IFERROR($E50,95))*0.09))),0))</x:f>
      </x:c>
      <x:c r="AC50" s="20" t="str">
        <x:f>IF($B50="","",ROUND(MAX(30,MIN(99,IFS(ISNUMBER(SEARCH("C",UPPER(SUBSTITUTE($C50,"/","-")))),92,ISNUMBER(SEARCH("PF",UPPER(SUBSTITUTE($C50,"/","-")))),82,ISNUMBER(SEARCH("SF",UPPER(SUBSTITUTE($C50,"/","-")))),64,ISNUMBER(SEARCH("SG",UPPER(SUBSTITUTE($C50,"/","-")))),48,ISNUMBER(SEARCH("PG",UPPER(SUBSTITUTE($C50,"/","-")))),36,TRUE,60)+((IFERROR($E50,95)-95)*0.45)+((IFERROR($D50,195)-195)*0.10)+((IFERROR($F50,200)-200)*0.08))),0))</x:f>
      </x:c>
      <x:c r="AD50" s="20" t="str">
        <x:f>IF($B50="","",ROUND(MAX(30,MIN(99,65+((IFERROR($F50,200)-200)*0.22)+((IFERROR($D50,195)-195)*0.08)-((IFERROR($E50,95)-95)*0.07))),0))</x:f>
      </x:c>
      <x:c r="AE50" s="15" t="n">
        <x:f>IFERROR(='입력데이터'!S50,0)*0.4+IFERROR(='입력데이터'!AP50,0)*0.4+IFERROR(='입력데이터'!AO50,0)*0.5</x:f>
        <x:v>0</x:v>
      </x:c>
      <x:c r="AF50" s="15" t="n">
        <x:f>IFERROR(='입력데이터'!S50,0)*0.5+IFERROR(='입력데이터'!P50,0)*0.8+IFERROR(='입력데이터'!AG50,0)</x:f>
        <x:v>0</x:v>
      </x:c>
      <x:c r="AG50" s="15" t="n">
        <x:f>IFERROR(='입력데이터'!AJ50,0)*8+IFERROR(IFERROR(='입력데이터'!AJ50,0)/IFERROR(='입력데이터'!AK50,0),0)*30</x:f>
        <x:v>0</x:v>
      </x:c>
      <x:c r="AH50" s="15" t="n">
        <x:f>IFERROR(='입력데이터'!AJ50,0)*6+IFERROR(='입력데이터'!AH50,0)*4</x:f>
        <x:v>0</x:v>
      </x:c>
      <x:c r="AI50" s="15" t="n">
        <x:f>IFERROR(='입력데이터'!AP50,0)*0.4+IFERROR(='입력데이터'!AE50,0)*1.5+IFERROR(='입력데이터'!Q50,0)*1.5</x:f>
        <x:v>0</x:v>
      </x:c>
      <x:c r="AJ50" s="15" t="n">
        <x:f>MAX(0,IFERROR(='입력데이터'!P50,0)-IFERROR(='입력데이터'!Q50,0)*2-IFERROR(='입력데이터'!T50,0)*3-IFERROR(='입력데이터'!Z50,0))*1.5+IFERROR(='입력데이터'!Y50,0)*0.3</x:f>
        <x:v>0</x:v>
      </x:c>
      <x:c r="AK50" s="15" t="n">
        <x:f>IFERROR(='입력데이터'!V50,0)*0.6+IFERROR(='입력데이터'!U50,0)*2+IFERROR(='입력데이터'!T50,0)*3</x:f>
        <x:v>0</x:v>
      </x:c>
      <x:c r="AL50" s="15" t="n">
        <x:f>IFERROR(='입력데이터'!AB50,0)*0.7+IFERROR(='입력데이터'!AA50,0)*1.5</x:f>
        <x:v>0</x:v>
      </x:c>
      <x:c r="AM50" s="15" t="n">
        <x:f>IFERROR(='입력데이터'!AF50,0)*5+IFERROR(IFERROR(='입력데이터'!AF50,0)/IFERROR(='입력데이터'!AL50,0),0)*3+IFERROR(='입력데이터'!AT50,0)</x:f>
        <x:v>0</x:v>
      </x:c>
      <x:c r="AN50" s="15" t="n">
        <x:f>IFERROR(='입력데이터'!AF50,0)*3+IFERROR(='입력데이터'!AG50,0)*3+IFERROR(IFERROR(='입력데이터'!AF50,0)/IFERROR(='입력데이터'!AL50,0),0)*4</x:f>
        <x:v>0</x:v>
      </x:c>
      <x:c r="AO50" s="15" t="n">
        <x:f>IFERROR(='입력데이터'!AG50,0)*12+IFERROR(='입력데이터'!AU50,0)*6</x:f>
        <x:v>0</x:v>
      </x:c>
      <x:c r="AP50" s="15" t="n">
        <x:f>IFERROR(='입력데이터'!AH50,0)*14+IFERROR(='입력데이터'!AD50,0)</x:f>
        <x:v>0</x:v>
      </x:c>
      <x:c r="AQ50" s="15" t="n">
        <x:f>IFERROR(='입력데이터'!AC50,0)*10</x:f>
        <x:v>0</x:v>
      </x:c>
      <x:c r="AR50" s="15" t="n">
        <x:f>IFERROR(='입력데이터'!AD50,0)*7+IFERROR(='입력데이터'!AH50,0)*2</x:f>
        <x:v>0</x:v>
      </x:c>
      <x:c r="AS50" s="15" t="n">
        <x:f>IFERROR(='입력데이터'!AH50,0)*8+IFERROR(='입력데이터'!AD50,0)*2+IFERROR(='입력데이터'!AI50,0)*4</x:f>
        <x:v>0</x:v>
      </x:c>
      <x:c r="AT50" s="16" t="n">
        <x:f>IFERROR(='입력데이터'!AG50,0)*8+IFERROR(='입력데이터'!AI50,0)*5+IFERROR(='입력데이터'!AU50,0)*4</x:f>
        <x:v>0</x:v>
      </x:c>
    </x:row>
    <x:row r="51">
      <x:c r="A51" s="14" t="str">
        <x:f>IF('입력데이터'!$B51="","",'입력데이터'!A51)</x:f>
      </x:c>
      <x:c r="B51" s="15" t="str">
        <x:f>IF('입력데이터'!$B51="","",'입력데이터'!B51)</x:f>
      </x:c>
      <x:c r="C51" s="15" t="str">
        <x:f>IF('입력데이터'!$B51="","",'입력데이터'!K51)</x:f>
      </x:c>
      <x:c r="D51" s="15" t="str">
        <x:f>IF('입력데이터'!$B51="","",'입력데이터'!H51)</x:f>
      </x:c>
      <x:c r="E51" s="15" t="str">
        <x:f>IF('입력데이터'!$B51="","",'입력데이터'!I51)</x:f>
      </x:c>
      <x:c r="F51" s="15" t="str">
        <x:f>IF('입력데이터'!$B51="","",'입력데이터'!J51)</x:f>
      </x:c>
      <x:c r="G51" s="15" t="str">
        <x:f>IF('입력데이터'!$B51="","",'입력데이터'!L51)</x:f>
      </x:c>
      <x:c r="H51" s="15" t="str">
        <x:f>IF('입력데이터'!$B51="","",'입력데이터'!O51)</x:f>
      </x:c>
      <x:c r="I51" s="20" t="str">
        <x:f>IF($B51="", "", ROUND(MAX(30, MIN(99, IFERROR((AE51-MIN($AE$2:$AE$101))/(MAX($AE$2:$AE$101)-MIN($AE$2:$AE$101))*99,30))),0))</x:f>
      </x:c>
      <x:c r="J51" s="20" t="str">
        <x:f>IF($B51="", "", ROUND(MAX(30, MIN(99, IFERROR((AF51-MIN($AF$2:$AF$101))/(MAX($AF$2:$AF$101)-MIN($AF$2:$AF$101))*99,30))),0))</x:f>
      </x:c>
      <x:c r="K51" s="20" t="str">
        <x:f>IF($B51="", "", ROUND(MAX(30, MIN(99, IFERROR((AG51-MIN($AG$2:$AG$101))/(MAX($AG$2:$AG$101)-MIN($AG$2:$AG$101))*99,30))),0))</x:f>
      </x:c>
      <x:c r="L51" s="20" t="str">
        <x:f>IF($B51="", "", ROUND(MAX(30, MIN(99, IFERROR((AH51-MIN($AH$2:$AH$101))/(MAX($AH$2:$AH$101)-MIN($AH$2:$AH$101))*99,30))),0))</x:f>
      </x:c>
      <x:c r="M51" s="20" t="str">
        <x:f>IF($B51="", "", ROUND(MAX(30, MIN(99, IFERROR((AI51-MIN($AI$2:$AI$101))/(MAX($AI$2:$AI$101)-MIN($AI$2:$AI$101))*99,30))),0))</x:f>
      </x:c>
      <x:c r="N51" s="20" t="str">
        <x:f>IF($B51="", "", ROUND(MAX(30, MIN(99, IFERROR((AJ51-MIN($AJ$2:$AJ$101))/(MAX($AJ$2:$AJ$101)-MIN($AJ$2:$AJ$101))*99,30))),0))</x:f>
      </x:c>
      <x:c r="O51" s="20" t="str">
        <x:f>IF($B51="", "", ROUND(MAX(30, MIN(99, IFERROR((AK51-MIN($AK$2:$AK$101))/(MAX($AK$2:$AK$101)-MIN($AK$2:$AK$101))*99,30))),0))</x:f>
      </x:c>
      <x:c r="P51" s="20" t="str">
        <x:f>IF($B51="", "", ROUND(MAX(30, MIN(99, IFERROR((AL51-MIN($AL$2:$AL$101))/(MAX($AL$2:$AL$101)-MIN($AL$2:$AL$101))*99,30))),0))</x:f>
      </x:c>
      <x:c r="Q51" s="20" t="str">
        <x:f>IF($B51="", "", ROUND(MAX(30, MIN(99, IFERROR((AM51-MIN($AM$2:$AM$101))/(MAX($AM$2:$AM$101)-MIN($AM$2:$AM$101))*99,30))),0))</x:f>
      </x:c>
      <x:c r="R51" s="20" t="str">
        <x:f>IF($B51="", "", ROUND(MAX(30, MIN(99, IFERROR((AN51-MIN($AN$2:$AN$101))/(MAX($AN$2:$AN$101)-MIN($AN$2:$AN$101))*99,30))),0))</x:f>
      </x:c>
      <x:c r="S51" s="20" t="str">
        <x:f>IF($B51="", "", ROUND(MAX(30, MIN(99, IFERROR((AO51-MIN($AO$2:$AO$101))/(MAX($AO$2:$AO$101)-MIN($AO$2:$AO$101))*99,30))),0))</x:f>
      </x:c>
      <x:c r="T51" s="20" t="str">
        <x:f>IF($B51="", "", ROUND(MAX(30, MIN(99, IFERROR((AP51-MIN($AP$2:$AP$101))/(MAX($AP$2:$AP$101)-MIN($AP$2:$AP$101))*99,30))),0))</x:f>
      </x:c>
      <x:c r="U51" s="20" t="str">
        <x:f>IF($B51="", "", ROUND(MAX(30, MIN(99, IFERROR((AQ51-MIN($AQ$2:$AQ$101))/(MAX($AQ$2:$AQ$101)-MIN($AQ$2:$AQ$101))*99,30))),0))</x:f>
      </x:c>
      <x:c r="V51" s="20" t="str">
        <x:f>IF($B51="", "", ROUND(MAX(30, MIN(99, IFERROR((AR51-MIN($AR$2:$AR$101))/(MAX($AR$2:$AR$101)-MIN($AR$2:$AR$101))*99,30))),0))</x:f>
      </x:c>
      <x:c r="W51" s="20" t="str">
        <x:f>IF($B51="", "", ROUND(MAX(30, MIN(99, IFERROR((AS51-MIN($AS$2:$AS$101))/(MAX($AS$2:$AS$101)-MIN($AS$2:$AS$101))*99,30))),0))</x:f>
      </x:c>
      <x:c r="X51" s="20" t="str">
        <x:f>IF($B51="", "", ROUND(MAX(30, MIN(99, IFERROR((AT51-MIN($AT$2:$AT$101))/(MAX($AT$2:$AT$101)-MIN($AT$2:$AT$101))*99,30))),0))</x:f>
      </x:c>
      <x:c r="Y51" s="20" t="str">
        <x:f>IF($B51="","",ROUND(AVERAGE(I51:X51),0))</x:f>
      </x:c>
      <x:c r="Z51" s="20" t="str">
        <x:f>IF($B51="","",ROUND(MAX(30,MIN(99,IFS(ISNUMBER(SEARCH("PG",UPPER(SUBSTITUTE($C51,"/","-")))),84,ISNUMBER(SEARCH("SG",UPPER(SUBSTITUTE($C51,"/","-")))),76,ISNUMBER(SEARCH("SF",UPPER(SUBSTITUTE($C51,"/","-")))),68,ISNUMBER(SEARCH("PF",UPPER(SUBSTITUTE($C51,"/","-")))),55,ISNUMBER(SEARCH("C",UPPER(SUBSTITUTE($C51,"/","-")))),42,TRUE,65)+((195-IFERROR($D51,195))*0.15)+((95-IFERROR($E51,95))*0.08))),0))</x:f>
      </x:c>
      <x:c r="AA51" s="20" t="str">
        <x:f>IF($B51="","",ROUND(MAX(30,MIN(99,IFS(ISNUMBER(SEARCH("PG",UPPER(SUBSTITUTE($C51,"/","-")))),84,ISNUMBER(SEARCH("SG",UPPER(SUBSTITUTE($C51,"/","-")))),76,ISNUMBER(SEARCH("SF",UPPER(SUBSTITUTE($C51,"/","-")))),68,ISNUMBER(SEARCH("PF",UPPER(SUBSTITUTE($C51,"/","-")))),55,ISNUMBER(SEARCH("C",UPPER(SUBSTITUTE($C51,"/","-")))),42,TRUE,65)+((195-IFERROR($D51,195))*0.18)+((95-IFERROR($E51,95))*0.10))),0))</x:f>
      </x:c>
      <x:c r="AB51" s="20" t="str">
        <x:f>IF($B51="","",ROUND(MAX(30,MIN(99,IFS(ISNUMBER(SEARCH("PG",UPPER(SUBSTITUTE($C51,"/","-")))),84,ISNUMBER(SEARCH("SG",UPPER(SUBSTITUTE($C51,"/","-")))),76,ISNUMBER(SEARCH("SF",UPPER(SUBSTITUTE($C51,"/","-")))),68,ISNUMBER(SEARCH("PF",UPPER(SUBSTITUTE($C51,"/","-")))),55,ISNUMBER(SEARCH("C",UPPER(SUBSTITUTE($C51,"/","-")))),42,TRUE,65)+2+((195-IFERROR($D51,195))*0.14)+((95-IFERROR($E51,95))*0.09))),0))</x:f>
      </x:c>
      <x:c r="AC51" s="20" t="str">
        <x:f>IF($B51="","",ROUND(MAX(30,MIN(99,IFS(ISNUMBER(SEARCH("C",UPPER(SUBSTITUTE($C51,"/","-")))),92,ISNUMBER(SEARCH("PF",UPPER(SUBSTITUTE($C51,"/","-")))),82,ISNUMBER(SEARCH("SF",UPPER(SUBSTITUTE($C51,"/","-")))),64,ISNUMBER(SEARCH("SG",UPPER(SUBSTITUTE($C51,"/","-")))),48,ISNUMBER(SEARCH("PG",UPPER(SUBSTITUTE($C51,"/","-")))),36,TRUE,60)+((IFERROR($E51,95)-95)*0.45)+((IFERROR($D51,195)-195)*0.10)+((IFERROR($F51,200)-200)*0.08))),0))</x:f>
      </x:c>
      <x:c r="AD51" s="20" t="str">
        <x:f>IF($B51="","",ROUND(MAX(30,MIN(99,65+((IFERROR($F51,200)-200)*0.22)+((IFERROR($D51,195)-195)*0.08)-((IFERROR($E51,95)-95)*0.07))),0))</x:f>
      </x:c>
      <x:c r="AE51" s="15" t="n">
        <x:f>IFERROR(='입력데이터'!S51,0)*0.4+IFERROR(='입력데이터'!AP51,0)*0.4+IFERROR(='입력데이터'!AO51,0)*0.5</x:f>
        <x:v>0</x:v>
      </x:c>
      <x:c r="AF51" s="15" t="n">
        <x:f>IFERROR(='입력데이터'!S51,0)*0.5+IFERROR(='입력데이터'!P51,0)*0.8+IFERROR(='입력데이터'!AG51,0)</x:f>
        <x:v>0</x:v>
      </x:c>
      <x:c r="AG51" s="15" t="n">
        <x:f>IFERROR(='입력데이터'!AJ51,0)*8+IFERROR(IFERROR(='입력데이터'!AJ51,0)/IFERROR(='입력데이터'!AK51,0),0)*30</x:f>
        <x:v>0</x:v>
      </x:c>
      <x:c r="AH51" s="15" t="n">
        <x:f>IFERROR(='입력데이터'!AJ51,0)*6+IFERROR(='입력데이터'!AH51,0)*4</x:f>
        <x:v>0</x:v>
      </x:c>
      <x:c r="AI51" s="15" t="n">
        <x:f>IFERROR(='입력데이터'!AP51,0)*0.4+IFERROR(='입력데이터'!AE51,0)*1.5+IFERROR(='입력데이터'!Q51,0)*1.5</x:f>
        <x:v>0</x:v>
      </x:c>
      <x:c r="AJ51" s="15" t="n">
        <x:f>MAX(0,IFERROR(='입력데이터'!P51,0)-IFERROR(='입력데이터'!Q51,0)*2-IFERROR(='입력데이터'!T51,0)*3-IFERROR(='입력데이터'!Z51,0))*1.5+IFERROR(='입력데이터'!Y51,0)*0.3</x:f>
        <x:v>0</x:v>
      </x:c>
      <x:c r="AK51" s="15" t="n">
        <x:f>IFERROR(='입력데이터'!V51,0)*0.6+IFERROR(='입력데이터'!U51,0)*2+IFERROR(='입력데이터'!T51,0)*3</x:f>
        <x:v>0</x:v>
      </x:c>
      <x:c r="AL51" s="15" t="n">
        <x:f>IFERROR(='입력데이터'!AB51,0)*0.7+IFERROR(='입력데이터'!AA51,0)*1.5</x:f>
        <x:v>0</x:v>
      </x:c>
      <x:c r="AM51" s="15" t="n">
        <x:f>IFERROR(='입력데이터'!AF51,0)*5+IFERROR(IFERROR(='입력데이터'!AF51,0)/IFERROR(='입력데이터'!AL51,0),0)*3+IFERROR(='입력데이터'!AT51,0)</x:f>
        <x:v>0</x:v>
      </x:c>
      <x:c r="AN51" s="15" t="n">
        <x:f>IFERROR(='입력데이터'!AF51,0)*3+IFERROR(='입력데이터'!AG51,0)*3+IFERROR(IFERROR(='입력데이터'!AF51,0)/IFERROR(='입력데이터'!AL51,0),0)*4</x:f>
        <x:v>0</x:v>
      </x:c>
      <x:c r="AO51" s="15" t="n">
        <x:f>IFERROR(='입력데이터'!AG51,0)*12+IFERROR(='입력데이터'!AU51,0)*6</x:f>
        <x:v>0</x:v>
      </x:c>
      <x:c r="AP51" s="15" t="n">
        <x:f>IFERROR(='입력데이터'!AH51,0)*14+IFERROR(='입력데이터'!AD51,0)</x:f>
        <x:v>0</x:v>
      </x:c>
      <x:c r="AQ51" s="15" t="n">
        <x:f>IFERROR(='입력데이터'!AC51,0)*10</x:f>
        <x:v>0</x:v>
      </x:c>
      <x:c r="AR51" s="15" t="n">
        <x:f>IFERROR(='입력데이터'!AD51,0)*7+IFERROR(='입력데이터'!AH51,0)*2</x:f>
        <x:v>0</x:v>
      </x:c>
      <x:c r="AS51" s="15" t="n">
        <x:f>IFERROR(='입력데이터'!AH51,0)*8+IFERROR(='입력데이터'!AD51,0)*2+IFERROR(='입력데이터'!AI51,0)*4</x:f>
        <x:v>0</x:v>
      </x:c>
      <x:c r="AT51" s="16" t="n">
        <x:f>IFERROR(='입력데이터'!AG51,0)*8+IFERROR(='입력데이터'!AI51,0)*5+IFERROR(='입력데이터'!AU51,0)*4</x:f>
        <x:v>0</x:v>
      </x:c>
    </x:row>
    <x:row r="52">
      <x:c r="A52" s="14" t="str">
        <x:f>IF('입력데이터'!$B52="","",'입력데이터'!A52)</x:f>
      </x:c>
      <x:c r="B52" s="15" t="str">
        <x:f>IF('입력데이터'!$B52="","",'입력데이터'!B52)</x:f>
      </x:c>
      <x:c r="C52" s="15" t="str">
        <x:f>IF('입력데이터'!$B52="","",'입력데이터'!K52)</x:f>
      </x:c>
      <x:c r="D52" s="15" t="str">
        <x:f>IF('입력데이터'!$B52="","",'입력데이터'!H52)</x:f>
      </x:c>
      <x:c r="E52" s="15" t="str">
        <x:f>IF('입력데이터'!$B52="","",'입력데이터'!I52)</x:f>
      </x:c>
      <x:c r="F52" s="15" t="str">
        <x:f>IF('입력데이터'!$B52="","",'입력데이터'!J52)</x:f>
      </x:c>
      <x:c r="G52" s="15" t="str">
        <x:f>IF('입력데이터'!$B52="","",'입력데이터'!L52)</x:f>
      </x:c>
      <x:c r="H52" s="15" t="str">
        <x:f>IF('입력데이터'!$B52="","",'입력데이터'!O52)</x:f>
      </x:c>
      <x:c r="I52" s="20" t="str">
        <x:f>IF($B52="", "", ROUND(MAX(30, MIN(99, IFERROR((AE52-MIN($AE$2:$AE$101))/(MAX($AE$2:$AE$101)-MIN($AE$2:$AE$101))*99,30))),0))</x:f>
      </x:c>
      <x:c r="J52" s="20" t="str">
        <x:f>IF($B52="", "", ROUND(MAX(30, MIN(99, IFERROR((AF52-MIN($AF$2:$AF$101))/(MAX($AF$2:$AF$101)-MIN($AF$2:$AF$101))*99,30))),0))</x:f>
      </x:c>
      <x:c r="K52" s="20" t="str">
        <x:f>IF($B52="", "", ROUND(MAX(30, MIN(99, IFERROR((AG52-MIN($AG$2:$AG$101))/(MAX($AG$2:$AG$101)-MIN($AG$2:$AG$101))*99,30))),0))</x:f>
      </x:c>
      <x:c r="L52" s="20" t="str">
        <x:f>IF($B52="", "", ROUND(MAX(30, MIN(99, IFERROR((AH52-MIN($AH$2:$AH$101))/(MAX($AH$2:$AH$101)-MIN($AH$2:$AH$101))*99,30))),0))</x:f>
      </x:c>
      <x:c r="M52" s="20" t="str">
        <x:f>IF($B52="", "", ROUND(MAX(30, MIN(99, IFERROR((AI52-MIN($AI$2:$AI$101))/(MAX($AI$2:$AI$101)-MIN($AI$2:$AI$101))*99,30))),0))</x:f>
      </x:c>
      <x:c r="N52" s="20" t="str">
        <x:f>IF($B52="", "", ROUND(MAX(30, MIN(99, IFERROR((AJ52-MIN($AJ$2:$AJ$101))/(MAX($AJ$2:$AJ$101)-MIN($AJ$2:$AJ$101))*99,30))),0))</x:f>
      </x:c>
      <x:c r="O52" s="20" t="str">
        <x:f>IF($B52="", "", ROUND(MAX(30, MIN(99, IFERROR((AK52-MIN($AK$2:$AK$101))/(MAX($AK$2:$AK$101)-MIN($AK$2:$AK$101))*99,30))),0))</x:f>
      </x:c>
      <x:c r="P52" s="20" t="str">
        <x:f>IF($B52="", "", ROUND(MAX(30, MIN(99, IFERROR((AL52-MIN($AL$2:$AL$101))/(MAX($AL$2:$AL$101)-MIN($AL$2:$AL$101))*99,30))),0))</x:f>
      </x:c>
      <x:c r="Q52" s="20" t="str">
        <x:f>IF($B52="", "", ROUND(MAX(30, MIN(99, IFERROR((AM52-MIN($AM$2:$AM$101))/(MAX($AM$2:$AM$101)-MIN($AM$2:$AM$101))*99,30))),0))</x:f>
      </x:c>
      <x:c r="R52" s="20" t="str">
        <x:f>IF($B52="", "", ROUND(MAX(30, MIN(99, IFERROR((AN52-MIN($AN$2:$AN$101))/(MAX($AN$2:$AN$101)-MIN($AN$2:$AN$101))*99,30))),0))</x:f>
      </x:c>
      <x:c r="S52" s="20" t="str">
        <x:f>IF($B52="", "", ROUND(MAX(30, MIN(99, IFERROR((AO52-MIN($AO$2:$AO$101))/(MAX($AO$2:$AO$101)-MIN($AO$2:$AO$101))*99,30))),0))</x:f>
      </x:c>
      <x:c r="T52" s="20" t="str">
        <x:f>IF($B52="", "", ROUND(MAX(30, MIN(99, IFERROR((AP52-MIN($AP$2:$AP$101))/(MAX($AP$2:$AP$101)-MIN($AP$2:$AP$101))*99,30))),0))</x:f>
      </x:c>
      <x:c r="U52" s="20" t="str">
        <x:f>IF($B52="", "", ROUND(MAX(30, MIN(99, IFERROR((AQ52-MIN($AQ$2:$AQ$101))/(MAX($AQ$2:$AQ$101)-MIN($AQ$2:$AQ$101))*99,30))),0))</x:f>
      </x:c>
      <x:c r="V52" s="20" t="str">
        <x:f>IF($B52="", "", ROUND(MAX(30, MIN(99, IFERROR((AR52-MIN($AR$2:$AR$101))/(MAX($AR$2:$AR$101)-MIN($AR$2:$AR$101))*99,30))),0))</x:f>
      </x:c>
      <x:c r="W52" s="20" t="str">
        <x:f>IF($B52="", "", ROUND(MAX(30, MIN(99, IFERROR((AS52-MIN($AS$2:$AS$101))/(MAX($AS$2:$AS$101)-MIN($AS$2:$AS$101))*99,30))),0))</x:f>
      </x:c>
      <x:c r="X52" s="20" t="str">
        <x:f>IF($B52="", "", ROUND(MAX(30, MIN(99, IFERROR((AT52-MIN($AT$2:$AT$101))/(MAX($AT$2:$AT$101)-MIN($AT$2:$AT$101))*99,30))),0))</x:f>
      </x:c>
      <x:c r="Y52" s="20" t="str">
        <x:f>IF($B52="","",ROUND(AVERAGE(I52:X52),0))</x:f>
      </x:c>
      <x:c r="Z52" s="20" t="str">
        <x:f>IF($B52="","",ROUND(MAX(30,MIN(99,IFS(ISNUMBER(SEARCH("PG",UPPER(SUBSTITUTE($C52,"/","-")))),84,ISNUMBER(SEARCH("SG",UPPER(SUBSTITUTE($C52,"/","-")))),76,ISNUMBER(SEARCH("SF",UPPER(SUBSTITUTE($C52,"/","-")))),68,ISNUMBER(SEARCH("PF",UPPER(SUBSTITUTE($C52,"/","-")))),55,ISNUMBER(SEARCH("C",UPPER(SUBSTITUTE($C52,"/","-")))),42,TRUE,65)+((195-IFERROR($D52,195))*0.15)+((95-IFERROR($E52,95))*0.08))),0))</x:f>
      </x:c>
      <x:c r="AA52" s="20" t="str">
        <x:f>IF($B52="","",ROUND(MAX(30,MIN(99,IFS(ISNUMBER(SEARCH("PG",UPPER(SUBSTITUTE($C52,"/","-")))),84,ISNUMBER(SEARCH("SG",UPPER(SUBSTITUTE($C52,"/","-")))),76,ISNUMBER(SEARCH("SF",UPPER(SUBSTITUTE($C52,"/","-")))),68,ISNUMBER(SEARCH("PF",UPPER(SUBSTITUTE($C52,"/","-")))),55,ISNUMBER(SEARCH("C",UPPER(SUBSTITUTE($C52,"/","-")))),42,TRUE,65)+((195-IFERROR($D52,195))*0.18)+((95-IFERROR($E52,95))*0.10))),0))</x:f>
      </x:c>
      <x:c r="AB52" s="20" t="str">
        <x:f>IF($B52="","",ROUND(MAX(30,MIN(99,IFS(ISNUMBER(SEARCH("PG",UPPER(SUBSTITUTE($C52,"/","-")))),84,ISNUMBER(SEARCH("SG",UPPER(SUBSTITUTE($C52,"/","-")))),76,ISNUMBER(SEARCH("SF",UPPER(SUBSTITUTE($C52,"/","-")))),68,ISNUMBER(SEARCH("PF",UPPER(SUBSTITUTE($C52,"/","-")))),55,ISNUMBER(SEARCH("C",UPPER(SUBSTITUTE($C52,"/","-")))),42,TRUE,65)+2+((195-IFERROR($D52,195))*0.14)+((95-IFERROR($E52,95))*0.09))),0))</x:f>
      </x:c>
      <x:c r="AC52" s="20" t="str">
        <x:f>IF($B52="","",ROUND(MAX(30,MIN(99,IFS(ISNUMBER(SEARCH("C",UPPER(SUBSTITUTE($C52,"/","-")))),92,ISNUMBER(SEARCH("PF",UPPER(SUBSTITUTE($C52,"/","-")))),82,ISNUMBER(SEARCH("SF",UPPER(SUBSTITUTE($C52,"/","-")))),64,ISNUMBER(SEARCH("SG",UPPER(SUBSTITUTE($C52,"/","-")))),48,ISNUMBER(SEARCH("PG",UPPER(SUBSTITUTE($C52,"/","-")))),36,TRUE,60)+((IFERROR($E52,95)-95)*0.45)+((IFERROR($D52,195)-195)*0.10)+((IFERROR($F52,200)-200)*0.08))),0))</x:f>
      </x:c>
      <x:c r="AD52" s="20" t="str">
        <x:f>IF($B52="","",ROUND(MAX(30,MIN(99,65+((IFERROR($F52,200)-200)*0.22)+((IFERROR($D52,195)-195)*0.08)-((IFERROR($E52,95)-95)*0.07))),0))</x:f>
      </x:c>
      <x:c r="AE52" s="15" t="n">
        <x:f>IFERROR(='입력데이터'!S52,0)*0.4+IFERROR(='입력데이터'!AP52,0)*0.4+IFERROR(='입력데이터'!AO52,0)*0.5</x:f>
        <x:v>0</x:v>
      </x:c>
      <x:c r="AF52" s="15" t="n">
        <x:f>IFERROR(='입력데이터'!S52,0)*0.5+IFERROR(='입력데이터'!P52,0)*0.8+IFERROR(='입력데이터'!AG52,0)</x:f>
        <x:v>0</x:v>
      </x:c>
      <x:c r="AG52" s="15" t="n">
        <x:f>IFERROR(='입력데이터'!AJ52,0)*8+IFERROR(IFERROR(='입력데이터'!AJ52,0)/IFERROR(='입력데이터'!AK52,0),0)*30</x:f>
        <x:v>0</x:v>
      </x:c>
      <x:c r="AH52" s="15" t="n">
        <x:f>IFERROR(='입력데이터'!AJ52,0)*6+IFERROR(='입력데이터'!AH52,0)*4</x:f>
        <x:v>0</x:v>
      </x:c>
      <x:c r="AI52" s="15" t="n">
        <x:f>IFERROR(='입력데이터'!AP52,0)*0.4+IFERROR(='입력데이터'!AE52,0)*1.5+IFERROR(='입력데이터'!Q52,0)*1.5</x:f>
        <x:v>0</x:v>
      </x:c>
      <x:c r="AJ52" s="15" t="n">
        <x:f>MAX(0,IFERROR(='입력데이터'!P52,0)-IFERROR(='입력데이터'!Q52,0)*2-IFERROR(='입력데이터'!T52,0)*3-IFERROR(='입력데이터'!Z52,0))*1.5+IFERROR(='입력데이터'!Y52,0)*0.3</x:f>
        <x:v>0</x:v>
      </x:c>
      <x:c r="AK52" s="15" t="n">
        <x:f>IFERROR(='입력데이터'!V52,0)*0.6+IFERROR(='입력데이터'!U52,0)*2+IFERROR(='입력데이터'!T52,0)*3</x:f>
        <x:v>0</x:v>
      </x:c>
      <x:c r="AL52" s="15" t="n">
        <x:f>IFERROR(='입력데이터'!AB52,0)*0.7+IFERROR(='입력데이터'!AA52,0)*1.5</x:f>
        <x:v>0</x:v>
      </x:c>
      <x:c r="AM52" s="15" t="n">
        <x:f>IFERROR(='입력데이터'!AF52,0)*5+IFERROR(IFERROR(='입력데이터'!AF52,0)/IFERROR(='입력데이터'!AL52,0),0)*3+IFERROR(='입력데이터'!AT52,0)</x:f>
        <x:v>0</x:v>
      </x:c>
      <x:c r="AN52" s="15" t="n">
        <x:f>IFERROR(='입력데이터'!AF52,0)*3+IFERROR(='입력데이터'!AG52,0)*3+IFERROR(IFERROR(='입력데이터'!AF52,0)/IFERROR(='입력데이터'!AL52,0),0)*4</x:f>
        <x:v>0</x:v>
      </x:c>
      <x:c r="AO52" s="15" t="n">
        <x:f>IFERROR(='입력데이터'!AG52,0)*12+IFERROR(='입력데이터'!AU52,0)*6</x:f>
        <x:v>0</x:v>
      </x:c>
      <x:c r="AP52" s="15" t="n">
        <x:f>IFERROR(='입력데이터'!AH52,0)*14+IFERROR(='입력데이터'!AD52,0)</x:f>
        <x:v>0</x:v>
      </x:c>
      <x:c r="AQ52" s="15" t="n">
        <x:f>IFERROR(='입력데이터'!AC52,0)*10</x:f>
        <x:v>0</x:v>
      </x:c>
      <x:c r="AR52" s="15" t="n">
        <x:f>IFERROR(='입력데이터'!AD52,0)*7+IFERROR(='입력데이터'!AH52,0)*2</x:f>
        <x:v>0</x:v>
      </x:c>
      <x:c r="AS52" s="15" t="n">
        <x:f>IFERROR(='입력데이터'!AH52,0)*8+IFERROR(='입력데이터'!AD52,0)*2+IFERROR(='입력데이터'!AI52,0)*4</x:f>
        <x:v>0</x:v>
      </x:c>
      <x:c r="AT52" s="16" t="n">
        <x:f>IFERROR(='입력데이터'!AG52,0)*8+IFERROR(='입력데이터'!AI52,0)*5+IFERROR(='입력데이터'!AU52,0)*4</x:f>
        <x:v>0</x:v>
      </x:c>
    </x:row>
    <x:row r="53">
      <x:c r="A53" s="14" t="str">
        <x:f>IF('입력데이터'!$B53="","",'입력데이터'!A53)</x:f>
      </x:c>
      <x:c r="B53" s="15" t="str">
        <x:f>IF('입력데이터'!$B53="","",'입력데이터'!B53)</x:f>
      </x:c>
      <x:c r="C53" s="15" t="str">
        <x:f>IF('입력데이터'!$B53="","",'입력데이터'!K53)</x:f>
      </x:c>
      <x:c r="D53" s="15" t="str">
        <x:f>IF('입력데이터'!$B53="","",'입력데이터'!H53)</x:f>
      </x:c>
      <x:c r="E53" s="15" t="str">
        <x:f>IF('입력데이터'!$B53="","",'입력데이터'!I53)</x:f>
      </x:c>
      <x:c r="F53" s="15" t="str">
        <x:f>IF('입력데이터'!$B53="","",'입력데이터'!J53)</x:f>
      </x:c>
      <x:c r="G53" s="15" t="str">
        <x:f>IF('입력데이터'!$B53="","",'입력데이터'!L53)</x:f>
      </x:c>
      <x:c r="H53" s="15" t="str">
        <x:f>IF('입력데이터'!$B53="","",'입력데이터'!O53)</x:f>
      </x:c>
      <x:c r="I53" s="20" t="str">
        <x:f>IF($B53="", "", ROUND(MAX(30, MIN(99, IFERROR((AE53-MIN($AE$2:$AE$101))/(MAX($AE$2:$AE$101)-MIN($AE$2:$AE$101))*99,30))),0))</x:f>
      </x:c>
      <x:c r="J53" s="20" t="str">
        <x:f>IF($B53="", "", ROUND(MAX(30, MIN(99, IFERROR((AF53-MIN($AF$2:$AF$101))/(MAX($AF$2:$AF$101)-MIN($AF$2:$AF$101))*99,30))),0))</x:f>
      </x:c>
      <x:c r="K53" s="20" t="str">
        <x:f>IF($B53="", "", ROUND(MAX(30, MIN(99, IFERROR((AG53-MIN($AG$2:$AG$101))/(MAX($AG$2:$AG$101)-MIN($AG$2:$AG$101))*99,30))),0))</x:f>
      </x:c>
      <x:c r="L53" s="20" t="str">
        <x:f>IF($B53="", "", ROUND(MAX(30, MIN(99, IFERROR((AH53-MIN($AH$2:$AH$101))/(MAX($AH$2:$AH$101)-MIN($AH$2:$AH$101))*99,30))),0))</x:f>
      </x:c>
      <x:c r="M53" s="20" t="str">
        <x:f>IF($B53="", "", ROUND(MAX(30, MIN(99, IFERROR((AI53-MIN($AI$2:$AI$101))/(MAX($AI$2:$AI$101)-MIN($AI$2:$AI$101))*99,30))),0))</x:f>
      </x:c>
      <x:c r="N53" s="20" t="str">
        <x:f>IF($B53="", "", ROUND(MAX(30, MIN(99, IFERROR((AJ53-MIN($AJ$2:$AJ$101))/(MAX($AJ$2:$AJ$101)-MIN($AJ$2:$AJ$101))*99,30))),0))</x:f>
      </x:c>
      <x:c r="O53" s="20" t="str">
        <x:f>IF($B53="", "", ROUND(MAX(30, MIN(99, IFERROR((AK53-MIN($AK$2:$AK$101))/(MAX($AK$2:$AK$101)-MIN($AK$2:$AK$101))*99,30))),0))</x:f>
      </x:c>
      <x:c r="P53" s="20" t="str">
        <x:f>IF($B53="", "", ROUND(MAX(30, MIN(99, IFERROR((AL53-MIN($AL$2:$AL$101))/(MAX($AL$2:$AL$101)-MIN($AL$2:$AL$101))*99,30))),0))</x:f>
      </x:c>
      <x:c r="Q53" s="20" t="str">
        <x:f>IF($B53="", "", ROUND(MAX(30, MIN(99, IFERROR((AM53-MIN($AM$2:$AM$101))/(MAX($AM$2:$AM$101)-MIN($AM$2:$AM$101))*99,30))),0))</x:f>
      </x:c>
      <x:c r="R53" s="20" t="str">
        <x:f>IF($B53="", "", ROUND(MAX(30, MIN(99, IFERROR((AN53-MIN($AN$2:$AN$101))/(MAX($AN$2:$AN$101)-MIN($AN$2:$AN$101))*99,30))),0))</x:f>
      </x:c>
      <x:c r="S53" s="20" t="str">
        <x:f>IF($B53="", "", ROUND(MAX(30, MIN(99, IFERROR((AO53-MIN($AO$2:$AO$101))/(MAX($AO$2:$AO$101)-MIN($AO$2:$AO$101))*99,30))),0))</x:f>
      </x:c>
      <x:c r="T53" s="20" t="str">
        <x:f>IF($B53="", "", ROUND(MAX(30, MIN(99, IFERROR((AP53-MIN($AP$2:$AP$101))/(MAX($AP$2:$AP$101)-MIN($AP$2:$AP$101))*99,30))),0))</x:f>
      </x:c>
      <x:c r="U53" s="20" t="str">
        <x:f>IF($B53="", "", ROUND(MAX(30, MIN(99, IFERROR((AQ53-MIN($AQ$2:$AQ$101))/(MAX($AQ$2:$AQ$101)-MIN($AQ$2:$AQ$101))*99,30))),0))</x:f>
      </x:c>
      <x:c r="V53" s="20" t="str">
        <x:f>IF($B53="", "", ROUND(MAX(30, MIN(99, IFERROR((AR53-MIN($AR$2:$AR$101))/(MAX($AR$2:$AR$101)-MIN($AR$2:$AR$101))*99,30))),0))</x:f>
      </x:c>
      <x:c r="W53" s="20" t="str">
        <x:f>IF($B53="", "", ROUND(MAX(30, MIN(99, IFERROR((AS53-MIN($AS$2:$AS$101))/(MAX($AS$2:$AS$101)-MIN($AS$2:$AS$101))*99,30))),0))</x:f>
      </x:c>
      <x:c r="X53" s="20" t="str">
        <x:f>IF($B53="", "", ROUND(MAX(30, MIN(99, IFERROR((AT53-MIN($AT$2:$AT$101))/(MAX($AT$2:$AT$101)-MIN($AT$2:$AT$101))*99,30))),0))</x:f>
      </x:c>
      <x:c r="Y53" s="20" t="str">
        <x:f>IF($B53="","",ROUND(AVERAGE(I53:X53),0))</x:f>
      </x:c>
      <x:c r="Z53" s="20" t="str">
        <x:f>IF($B53="","",ROUND(MAX(30,MIN(99,IFS(ISNUMBER(SEARCH("PG",UPPER(SUBSTITUTE($C53,"/","-")))),84,ISNUMBER(SEARCH("SG",UPPER(SUBSTITUTE($C53,"/","-")))),76,ISNUMBER(SEARCH("SF",UPPER(SUBSTITUTE($C53,"/","-")))),68,ISNUMBER(SEARCH("PF",UPPER(SUBSTITUTE($C53,"/","-")))),55,ISNUMBER(SEARCH("C",UPPER(SUBSTITUTE($C53,"/","-")))),42,TRUE,65)+((195-IFERROR($D53,195))*0.15)+((95-IFERROR($E53,95))*0.08))),0))</x:f>
      </x:c>
      <x:c r="AA53" s="20" t="str">
        <x:f>IF($B53="","",ROUND(MAX(30,MIN(99,IFS(ISNUMBER(SEARCH("PG",UPPER(SUBSTITUTE($C53,"/","-")))),84,ISNUMBER(SEARCH("SG",UPPER(SUBSTITUTE($C53,"/","-")))),76,ISNUMBER(SEARCH("SF",UPPER(SUBSTITUTE($C53,"/","-")))),68,ISNUMBER(SEARCH("PF",UPPER(SUBSTITUTE($C53,"/","-")))),55,ISNUMBER(SEARCH("C",UPPER(SUBSTITUTE($C53,"/","-")))),42,TRUE,65)+((195-IFERROR($D53,195))*0.18)+((95-IFERROR($E53,95))*0.10))),0))</x:f>
      </x:c>
      <x:c r="AB53" s="20" t="str">
        <x:f>IF($B53="","",ROUND(MAX(30,MIN(99,IFS(ISNUMBER(SEARCH("PG",UPPER(SUBSTITUTE($C53,"/","-")))),84,ISNUMBER(SEARCH("SG",UPPER(SUBSTITUTE($C53,"/","-")))),76,ISNUMBER(SEARCH("SF",UPPER(SUBSTITUTE($C53,"/","-")))),68,ISNUMBER(SEARCH("PF",UPPER(SUBSTITUTE($C53,"/","-")))),55,ISNUMBER(SEARCH("C",UPPER(SUBSTITUTE($C53,"/","-")))),42,TRUE,65)+2+((195-IFERROR($D53,195))*0.14)+((95-IFERROR($E53,95))*0.09))),0))</x:f>
      </x:c>
      <x:c r="AC53" s="20" t="str">
        <x:f>IF($B53="","",ROUND(MAX(30,MIN(99,IFS(ISNUMBER(SEARCH("C",UPPER(SUBSTITUTE($C53,"/","-")))),92,ISNUMBER(SEARCH("PF",UPPER(SUBSTITUTE($C53,"/","-")))),82,ISNUMBER(SEARCH("SF",UPPER(SUBSTITUTE($C53,"/","-")))),64,ISNUMBER(SEARCH("SG",UPPER(SUBSTITUTE($C53,"/","-")))),48,ISNUMBER(SEARCH("PG",UPPER(SUBSTITUTE($C53,"/","-")))),36,TRUE,60)+((IFERROR($E53,95)-95)*0.45)+((IFERROR($D53,195)-195)*0.10)+((IFERROR($F53,200)-200)*0.08))),0))</x:f>
      </x:c>
      <x:c r="AD53" s="20" t="str">
        <x:f>IF($B53="","",ROUND(MAX(30,MIN(99,65+((IFERROR($F53,200)-200)*0.22)+((IFERROR($D53,195)-195)*0.08)-((IFERROR($E53,95)-95)*0.07))),0))</x:f>
      </x:c>
      <x:c r="AE53" s="15" t="n">
        <x:f>IFERROR(='입력데이터'!S53,0)*0.4+IFERROR(='입력데이터'!AP53,0)*0.4+IFERROR(='입력데이터'!AO53,0)*0.5</x:f>
        <x:v>0</x:v>
      </x:c>
      <x:c r="AF53" s="15" t="n">
        <x:f>IFERROR(='입력데이터'!S53,0)*0.5+IFERROR(='입력데이터'!P53,0)*0.8+IFERROR(='입력데이터'!AG53,0)</x:f>
        <x:v>0</x:v>
      </x:c>
      <x:c r="AG53" s="15" t="n">
        <x:f>IFERROR(='입력데이터'!AJ53,0)*8+IFERROR(IFERROR(='입력데이터'!AJ53,0)/IFERROR(='입력데이터'!AK53,0),0)*30</x:f>
        <x:v>0</x:v>
      </x:c>
      <x:c r="AH53" s="15" t="n">
        <x:f>IFERROR(='입력데이터'!AJ53,0)*6+IFERROR(='입력데이터'!AH53,0)*4</x:f>
        <x:v>0</x:v>
      </x:c>
      <x:c r="AI53" s="15" t="n">
        <x:f>IFERROR(='입력데이터'!AP53,0)*0.4+IFERROR(='입력데이터'!AE53,0)*1.5+IFERROR(='입력데이터'!Q53,0)*1.5</x:f>
        <x:v>0</x:v>
      </x:c>
      <x:c r="AJ53" s="15" t="n">
        <x:f>MAX(0,IFERROR(='입력데이터'!P53,0)-IFERROR(='입력데이터'!Q53,0)*2-IFERROR(='입력데이터'!T53,0)*3-IFERROR(='입력데이터'!Z53,0))*1.5+IFERROR(='입력데이터'!Y53,0)*0.3</x:f>
        <x:v>0</x:v>
      </x:c>
      <x:c r="AK53" s="15" t="n">
        <x:f>IFERROR(='입력데이터'!V53,0)*0.6+IFERROR(='입력데이터'!U53,0)*2+IFERROR(='입력데이터'!T53,0)*3</x:f>
        <x:v>0</x:v>
      </x:c>
      <x:c r="AL53" s="15" t="n">
        <x:f>IFERROR(='입력데이터'!AB53,0)*0.7+IFERROR(='입력데이터'!AA53,0)*1.5</x:f>
        <x:v>0</x:v>
      </x:c>
      <x:c r="AM53" s="15" t="n">
        <x:f>IFERROR(='입력데이터'!AF53,0)*5+IFERROR(IFERROR(='입력데이터'!AF53,0)/IFERROR(='입력데이터'!AL53,0),0)*3+IFERROR(='입력데이터'!AT53,0)</x:f>
        <x:v>0</x:v>
      </x:c>
      <x:c r="AN53" s="15" t="n">
        <x:f>IFERROR(='입력데이터'!AF53,0)*3+IFERROR(='입력데이터'!AG53,0)*3+IFERROR(IFERROR(='입력데이터'!AF53,0)/IFERROR(='입력데이터'!AL53,0),0)*4</x:f>
        <x:v>0</x:v>
      </x:c>
      <x:c r="AO53" s="15" t="n">
        <x:f>IFERROR(='입력데이터'!AG53,0)*12+IFERROR(='입력데이터'!AU53,0)*6</x:f>
        <x:v>0</x:v>
      </x:c>
      <x:c r="AP53" s="15" t="n">
        <x:f>IFERROR(='입력데이터'!AH53,0)*14+IFERROR(='입력데이터'!AD53,0)</x:f>
        <x:v>0</x:v>
      </x:c>
      <x:c r="AQ53" s="15" t="n">
        <x:f>IFERROR(='입력데이터'!AC53,0)*10</x:f>
        <x:v>0</x:v>
      </x:c>
      <x:c r="AR53" s="15" t="n">
        <x:f>IFERROR(='입력데이터'!AD53,0)*7+IFERROR(='입력데이터'!AH53,0)*2</x:f>
        <x:v>0</x:v>
      </x:c>
      <x:c r="AS53" s="15" t="n">
        <x:f>IFERROR(='입력데이터'!AH53,0)*8+IFERROR(='입력데이터'!AD53,0)*2+IFERROR(='입력데이터'!AI53,0)*4</x:f>
        <x:v>0</x:v>
      </x:c>
      <x:c r="AT53" s="16" t="n">
        <x:f>IFERROR(='입력데이터'!AG53,0)*8+IFERROR(='입력데이터'!AI53,0)*5+IFERROR(='입력데이터'!AU53,0)*4</x:f>
        <x:v>0</x:v>
      </x:c>
    </x:row>
    <x:row r="54">
      <x:c r="A54" s="14" t="str">
        <x:f>IF('입력데이터'!$B54="","",'입력데이터'!A54)</x:f>
      </x:c>
      <x:c r="B54" s="15" t="str">
        <x:f>IF('입력데이터'!$B54="","",'입력데이터'!B54)</x:f>
      </x:c>
      <x:c r="C54" s="15" t="str">
        <x:f>IF('입력데이터'!$B54="","",'입력데이터'!K54)</x:f>
      </x:c>
      <x:c r="D54" s="15" t="str">
        <x:f>IF('입력데이터'!$B54="","",'입력데이터'!H54)</x:f>
      </x:c>
      <x:c r="E54" s="15" t="str">
        <x:f>IF('입력데이터'!$B54="","",'입력데이터'!I54)</x:f>
      </x:c>
      <x:c r="F54" s="15" t="str">
        <x:f>IF('입력데이터'!$B54="","",'입력데이터'!J54)</x:f>
      </x:c>
      <x:c r="G54" s="15" t="str">
        <x:f>IF('입력데이터'!$B54="","",'입력데이터'!L54)</x:f>
      </x:c>
      <x:c r="H54" s="15" t="str">
        <x:f>IF('입력데이터'!$B54="","",'입력데이터'!O54)</x:f>
      </x:c>
      <x:c r="I54" s="20" t="str">
        <x:f>IF($B54="", "", ROUND(MAX(30, MIN(99, IFERROR((AE54-MIN($AE$2:$AE$101))/(MAX($AE$2:$AE$101)-MIN($AE$2:$AE$101))*99,30))),0))</x:f>
      </x:c>
      <x:c r="J54" s="20" t="str">
        <x:f>IF($B54="", "", ROUND(MAX(30, MIN(99, IFERROR((AF54-MIN($AF$2:$AF$101))/(MAX($AF$2:$AF$101)-MIN($AF$2:$AF$101))*99,30))),0))</x:f>
      </x:c>
      <x:c r="K54" s="20" t="str">
        <x:f>IF($B54="", "", ROUND(MAX(30, MIN(99, IFERROR((AG54-MIN($AG$2:$AG$101))/(MAX($AG$2:$AG$101)-MIN($AG$2:$AG$101))*99,30))),0))</x:f>
      </x:c>
      <x:c r="L54" s="20" t="str">
        <x:f>IF($B54="", "", ROUND(MAX(30, MIN(99, IFERROR((AH54-MIN($AH$2:$AH$101))/(MAX($AH$2:$AH$101)-MIN($AH$2:$AH$101))*99,30))),0))</x:f>
      </x:c>
      <x:c r="M54" s="20" t="str">
        <x:f>IF($B54="", "", ROUND(MAX(30, MIN(99, IFERROR((AI54-MIN($AI$2:$AI$101))/(MAX($AI$2:$AI$101)-MIN($AI$2:$AI$101))*99,30))),0))</x:f>
      </x:c>
      <x:c r="N54" s="20" t="str">
        <x:f>IF($B54="", "", ROUND(MAX(30, MIN(99, IFERROR((AJ54-MIN($AJ$2:$AJ$101))/(MAX($AJ$2:$AJ$101)-MIN($AJ$2:$AJ$101))*99,30))),0))</x:f>
      </x:c>
      <x:c r="O54" s="20" t="str">
        <x:f>IF($B54="", "", ROUND(MAX(30, MIN(99, IFERROR((AK54-MIN($AK$2:$AK$101))/(MAX($AK$2:$AK$101)-MIN($AK$2:$AK$101))*99,30))),0))</x:f>
      </x:c>
      <x:c r="P54" s="20" t="str">
        <x:f>IF($B54="", "", ROUND(MAX(30, MIN(99, IFERROR((AL54-MIN($AL$2:$AL$101))/(MAX($AL$2:$AL$101)-MIN($AL$2:$AL$101))*99,30))),0))</x:f>
      </x:c>
      <x:c r="Q54" s="20" t="str">
        <x:f>IF($B54="", "", ROUND(MAX(30, MIN(99, IFERROR((AM54-MIN($AM$2:$AM$101))/(MAX($AM$2:$AM$101)-MIN($AM$2:$AM$101))*99,30))),0))</x:f>
      </x:c>
      <x:c r="R54" s="20" t="str">
        <x:f>IF($B54="", "", ROUND(MAX(30, MIN(99, IFERROR((AN54-MIN($AN$2:$AN$101))/(MAX($AN$2:$AN$101)-MIN($AN$2:$AN$101))*99,30))),0))</x:f>
      </x:c>
      <x:c r="S54" s="20" t="str">
        <x:f>IF($B54="", "", ROUND(MAX(30, MIN(99, IFERROR((AO54-MIN($AO$2:$AO$101))/(MAX($AO$2:$AO$101)-MIN($AO$2:$AO$101))*99,30))),0))</x:f>
      </x:c>
      <x:c r="T54" s="20" t="str">
        <x:f>IF($B54="", "", ROUND(MAX(30, MIN(99, IFERROR((AP54-MIN($AP$2:$AP$101))/(MAX($AP$2:$AP$101)-MIN($AP$2:$AP$101))*99,30))),0))</x:f>
      </x:c>
      <x:c r="U54" s="20" t="str">
        <x:f>IF($B54="", "", ROUND(MAX(30, MIN(99, IFERROR((AQ54-MIN($AQ$2:$AQ$101))/(MAX($AQ$2:$AQ$101)-MIN($AQ$2:$AQ$101))*99,30))),0))</x:f>
      </x:c>
      <x:c r="V54" s="20" t="str">
        <x:f>IF($B54="", "", ROUND(MAX(30, MIN(99, IFERROR((AR54-MIN($AR$2:$AR$101))/(MAX($AR$2:$AR$101)-MIN($AR$2:$AR$101))*99,30))),0))</x:f>
      </x:c>
      <x:c r="W54" s="20" t="str">
        <x:f>IF($B54="", "", ROUND(MAX(30, MIN(99, IFERROR((AS54-MIN($AS$2:$AS$101))/(MAX($AS$2:$AS$101)-MIN($AS$2:$AS$101))*99,30))),0))</x:f>
      </x:c>
      <x:c r="X54" s="20" t="str">
        <x:f>IF($B54="", "", ROUND(MAX(30, MIN(99, IFERROR((AT54-MIN($AT$2:$AT$101))/(MAX($AT$2:$AT$101)-MIN($AT$2:$AT$101))*99,30))),0))</x:f>
      </x:c>
      <x:c r="Y54" s="20" t="str">
        <x:f>IF($B54="","",ROUND(AVERAGE(I54:X54),0))</x:f>
      </x:c>
      <x:c r="Z54" s="20" t="str">
        <x:f>IF($B54="","",ROUND(MAX(30,MIN(99,IFS(ISNUMBER(SEARCH("PG",UPPER(SUBSTITUTE($C54,"/","-")))),84,ISNUMBER(SEARCH("SG",UPPER(SUBSTITUTE($C54,"/","-")))),76,ISNUMBER(SEARCH("SF",UPPER(SUBSTITUTE($C54,"/","-")))),68,ISNUMBER(SEARCH("PF",UPPER(SUBSTITUTE($C54,"/","-")))),55,ISNUMBER(SEARCH("C",UPPER(SUBSTITUTE($C54,"/","-")))),42,TRUE,65)+((195-IFERROR($D54,195))*0.15)+((95-IFERROR($E54,95))*0.08))),0))</x:f>
      </x:c>
      <x:c r="AA54" s="20" t="str">
        <x:f>IF($B54="","",ROUND(MAX(30,MIN(99,IFS(ISNUMBER(SEARCH("PG",UPPER(SUBSTITUTE($C54,"/","-")))),84,ISNUMBER(SEARCH("SG",UPPER(SUBSTITUTE($C54,"/","-")))),76,ISNUMBER(SEARCH("SF",UPPER(SUBSTITUTE($C54,"/","-")))),68,ISNUMBER(SEARCH("PF",UPPER(SUBSTITUTE($C54,"/","-")))),55,ISNUMBER(SEARCH("C",UPPER(SUBSTITUTE($C54,"/","-")))),42,TRUE,65)+((195-IFERROR($D54,195))*0.18)+((95-IFERROR($E54,95))*0.10))),0))</x:f>
      </x:c>
      <x:c r="AB54" s="20" t="str">
        <x:f>IF($B54="","",ROUND(MAX(30,MIN(99,IFS(ISNUMBER(SEARCH("PG",UPPER(SUBSTITUTE($C54,"/","-")))),84,ISNUMBER(SEARCH("SG",UPPER(SUBSTITUTE($C54,"/","-")))),76,ISNUMBER(SEARCH("SF",UPPER(SUBSTITUTE($C54,"/","-")))),68,ISNUMBER(SEARCH("PF",UPPER(SUBSTITUTE($C54,"/","-")))),55,ISNUMBER(SEARCH("C",UPPER(SUBSTITUTE($C54,"/","-")))),42,TRUE,65)+2+((195-IFERROR($D54,195))*0.14)+((95-IFERROR($E54,95))*0.09))),0))</x:f>
      </x:c>
      <x:c r="AC54" s="20" t="str">
        <x:f>IF($B54="","",ROUND(MAX(30,MIN(99,IFS(ISNUMBER(SEARCH("C",UPPER(SUBSTITUTE($C54,"/","-")))),92,ISNUMBER(SEARCH("PF",UPPER(SUBSTITUTE($C54,"/","-")))),82,ISNUMBER(SEARCH("SF",UPPER(SUBSTITUTE($C54,"/","-")))),64,ISNUMBER(SEARCH("SG",UPPER(SUBSTITUTE($C54,"/","-")))),48,ISNUMBER(SEARCH("PG",UPPER(SUBSTITUTE($C54,"/","-")))),36,TRUE,60)+((IFERROR($E54,95)-95)*0.45)+((IFERROR($D54,195)-195)*0.10)+((IFERROR($F54,200)-200)*0.08))),0))</x:f>
      </x:c>
      <x:c r="AD54" s="20" t="str">
        <x:f>IF($B54="","",ROUND(MAX(30,MIN(99,65+((IFERROR($F54,200)-200)*0.22)+((IFERROR($D54,195)-195)*0.08)-((IFERROR($E54,95)-95)*0.07))),0))</x:f>
      </x:c>
      <x:c r="AE54" s="15" t="n">
        <x:f>IFERROR(='입력데이터'!S54,0)*0.4+IFERROR(='입력데이터'!AP54,0)*0.4+IFERROR(='입력데이터'!AO54,0)*0.5</x:f>
        <x:v>0</x:v>
      </x:c>
      <x:c r="AF54" s="15" t="n">
        <x:f>IFERROR(='입력데이터'!S54,0)*0.5+IFERROR(='입력데이터'!P54,0)*0.8+IFERROR(='입력데이터'!AG54,0)</x:f>
        <x:v>0</x:v>
      </x:c>
      <x:c r="AG54" s="15" t="n">
        <x:f>IFERROR(='입력데이터'!AJ54,0)*8+IFERROR(IFERROR(='입력데이터'!AJ54,0)/IFERROR(='입력데이터'!AK54,0),0)*30</x:f>
        <x:v>0</x:v>
      </x:c>
      <x:c r="AH54" s="15" t="n">
        <x:f>IFERROR(='입력데이터'!AJ54,0)*6+IFERROR(='입력데이터'!AH54,0)*4</x:f>
        <x:v>0</x:v>
      </x:c>
      <x:c r="AI54" s="15" t="n">
        <x:f>IFERROR(='입력데이터'!AP54,0)*0.4+IFERROR(='입력데이터'!AE54,0)*1.5+IFERROR(='입력데이터'!Q54,0)*1.5</x:f>
        <x:v>0</x:v>
      </x:c>
      <x:c r="AJ54" s="15" t="n">
        <x:f>MAX(0,IFERROR(='입력데이터'!P54,0)-IFERROR(='입력데이터'!Q54,0)*2-IFERROR(='입력데이터'!T54,0)*3-IFERROR(='입력데이터'!Z54,0))*1.5+IFERROR(='입력데이터'!Y54,0)*0.3</x:f>
        <x:v>0</x:v>
      </x:c>
      <x:c r="AK54" s="15" t="n">
        <x:f>IFERROR(='입력데이터'!V54,0)*0.6+IFERROR(='입력데이터'!U54,0)*2+IFERROR(='입력데이터'!T54,0)*3</x:f>
        <x:v>0</x:v>
      </x:c>
      <x:c r="AL54" s="15" t="n">
        <x:f>IFERROR(='입력데이터'!AB54,0)*0.7+IFERROR(='입력데이터'!AA54,0)*1.5</x:f>
        <x:v>0</x:v>
      </x:c>
      <x:c r="AM54" s="15" t="n">
        <x:f>IFERROR(='입력데이터'!AF54,0)*5+IFERROR(IFERROR(='입력데이터'!AF54,0)/IFERROR(='입력데이터'!AL54,0),0)*3+IFERROR(='입력데이터'!AT54,0)</x:f>
        <x:v>0</x:v>
      </x:c>
      <x:c r="AN54" s="15" t="n">
        <x:f>IFERROR(='입력데이터'!AF54,0)*3+IFERROR(='입력데이터'!AG54,0)*3+IFERROR(IFERROR(='입력데이터'!AF54,0)/IFERROR(='입력데이터'!AL54,0),0)*4</x:f>
        <x:v>0</x:v>
      </x:c>
      <x:c r="AO54" s="15" t="n">
        <x:f>IFERROR(='입력데이터'!AG54,0)*12+IFERROR(='입력데이터'!AU54,0)*6</x:f>
        <x:v>0</x:v>
      </x:c>
      <x:c r="AP54" s="15" t="n">
        <x:f>IFERROR(='입력데이터'!AH54,0)*14+IFERROR(='입력데이터'!AD54,0)</x:f>
        <x:v>0</x:v>
      </x:c>
      <x:c r="AQ54" s="15" t="n">
        <x:f>IFERROR(='입력데이터'!AC54,0)*10</x:f>
        <x:v>0</x:v>
      </x:c>
      <x:c r="AR54" s="15" t="n">
        <x:f>IFERROR(='입력데이터'!AD54,0)*7+IFERROR(='입력데이터'!AH54,0)*2</x:f>
        <x:v>0</x:v>
      </x:c>
      <x:c r="AS54" s="15" t="n">
        <x:f>IFERROR(='입력데이터'!AH54,0)*8+IFERROR(='입력데이터'!AD54,0)*2+IFERROR(='입력데이터'!AI54,0)*4</x:f>
        <x:v>0</x:v>
      </x:c>
      <x:c r="AT54" s="16" t="n">
        <x:f>IFERROR(='입력데이터'!AG54,0)*8+IFERROR(='입력데이터'!AI54,0)*5+IFERROR(='입력데이터'!AU54,0)*4</x:f>
        <x:v>0</x:v>
      </x:c>
    </x:row>
    <x:row r="55">
      <x:c r="A55" s="14" t="str">
        <x:f>IF('입력데이터'!$B55="","",'입력데이터'!A55)</x:f>
      </x:c>
      <x:c r="B55" s="15" t="str">
        <x:f>IF('입력데이터'!$B55="","",'입력데이터'!B55)</x:f>
      </x:c>
      <x:c r="C55" s="15" t="str">
        <x:f>IF('입력데이터'!$B55="","",'입력데이터'!K55)</x:f>
      </x:c>
      <x:c r="D55" s="15" t="str">
        <x:f>IF('입력데이터'!$B55="","",'입력데이터'!H55)</x:f>
      </x:c>
      <x:c r="E55" s="15" t="str">
        <x:f>IF('입력데이터'!$B55="","",'입력데이터'!I55)</x:f>
      </x:c>
      <x:c r="F55" s="15" t="str">
        <x:f>IF('입력데이터'!$B55="","",'입력데이터'!J55)</x:f>
      </x:c>
      <x:c r="G55" s="15" t="str">
        <x:f>IF('입력데이터'!$B55="","",'입력데이터'!L55)</x:f>
      </x:c>
      <x:c r="H55" s="15" t="str">
        <x:f>IF('입력데이터'!$B55="","",'입력데이터'!O55)</x:f>
      </x:c>
      <x:c r="I55" s="20" t="str">
        <x:f>IF($B55="", "", ROUND(MAX(30, MIN(99, IFERROR((AE55-MIN($AE$2:$AE$101))/(MAX($AE$2:$AE$101)-MIN($AE$2:$AE$101))*99,30))),0))</x:f>
      </x:c>
      <x:c r="J55" s="20" t="str">
        <x:f>IF($B55="", "", ROUND(MAX(30, MIN(99, IFERROR((AF55-MIN($AF$2:$AF$101))/(MAX($AF$2:$AF$101)-MIN($AF$2:$AF$101))*99,30))),0))</x:f>
      </x:c>
      <x:c r="K55" s="20" t="str">
        <x:f>IF($B55="", "", ROUND(MAX(30, MIN(99, IFERROR((AG55-MIN($AG$2:$AG$101))/(MAX($AG$2:$AG$101)-MIN($AG$2:$AG$101))*99,30))),0))</x:f>
      </x:c>
      <x:c r="L55" s="20" t="str">
        <x:f>IF($B55="", "", ROUND(MAX(30, MIN(99, IFERROR((AH55-MIN($AH$2:$AH$101))/(MAX($AH$2:$AH$101)-MIN($AH$2:$AH$101))*99,30))),0))</x:f>
      </x:c>
      <x:c r="M55" s="20" t="str">
        <x:f>IF($B55="", "", ROUND(MAX(30, MIN(99, IFERROR((AI55-MIN($AI$2:$AI$101))/(MAX($AI$2:$AI$101)-MIN($AI$2:$AI$101))*99,30))),0))</x:f>
      </x:c>
      <x:c r="N55" s="20" t="str">
        <x:f>IF($B55="", "", ROUND(MAX(30, MIN(99, IFERROR((AJ55-MIN($AJ$2:$AJ$101))/(MAX($AJ$2:$AJ$101)-MIN($AJ$2:$AJ$101))*99,30))),0))</x:f>
      </x:c>
      <x:c r="O55" s="20" t="str">
        <x:f>IF($B55="", "", ROUND(MAX(30, MIN(99, IFERROR((AK55-MIN($AK$2:$AK$101))/(MAX($AK$2:$AK$101)-MIN($AK$2:$AK$101))*99,30))),0))</x:f>
      </x:c>
      <x:c r="P55" s="20" t="str">
        <x:f>IF($B55="", "", ROUND(MAX(30, MIN(99, IFERROR((AL55-MIN($AL$2:$AL$101))/(MAX($AL$2:$AL$101)-MIN($AL$2:$AL$101))*99,30))),0))</x:f>
      </x:c>
      <x:c r="Q55" s="20" t="str">
        <x:f>IF($B55="", "", ROUND(MAX(30, MIN(99, IFERROR((AM55-MIN($AM$2:$AM$101))/(MAX($AM$2:$AM$101)-MIN($AM$2:$AM$101))*99,30))),0))</x:f>
      </x:c>
      <x:c r="R55" s="20" t="str">
        <x:f>IF($B55="", "", ROUND(MAX(30, MIN(99, IFERROR((AN55-MIN($AN$2:$AN$101))/(MAX($AN$2:$AN$101)-MIN($AN$2:$AN$101))*99,30))),0))</x:f>
      </x:c>
      <x:c r="S55" s="20" t="str">
        <x:f>IF($B55="", "", ROUND(MAX(30, MIN(99, IFERROR((AO55-MIN($AO$2:$AO$101))/(MAX($AO$2:$AO$101)-MIN($AO$2:$AO$101))*99,30))),0))</x:f>
      </x:c>
      <x:c r="T55" s="20" t="str">
        <x:f>IF($B55="", "", ROUND(MAX(30, MIN(99, IFERROR((AP55-MIN($AP$2:$AP$101))/(MAX($AP$2:$AP$101)-MIN($AP$2:$AP$101))*99,30))),0))</x:f>
      </x:c>
      <x:c r="U55" s="20" t="str">
        <x:f>IF($B55="", "", ROUND(MAX(30, MIN(99, IFERROR((AQ55-MIN($AQ$2:$AQ$101))/(MAX($AQ$2:$AQ$101)-MIN($AQ$2:$AQ$101))*99,30))),0))</x:f>
      </x:c>
      <x:c r="V55" s="20" t="str">
        <x:f>IF($B55="", "", ROUND(MAX(30, MIN(99, IFERROR((AR55-MIN($AR$2:$AR$101))/(MAX($AR$2:$AR$101)-MIN($AR$2:$AR$101))*99,30))),0))</x:f>
      </x:c>
      <x:c r="W55" s="20" t="str">
        <x:f>IF($B55="", "", ROUND(MAX(30, MIN(99, IFERROR((AS55-MIN($AS$2:$AS$101))/(MAX($AS$2:$AS$101)-MIN($AS$2:$AS$101))*99,30))),0))</x:f>
      </x:c>
      <x:c r="X55" s="20" t="str">
        <x:f>IF($B55="", "", ROUND(MAX(30, MIN(99, IFERROR((AT55-MIN($AT$2:$AT$101))/(MAX($AT$2:$AT$101)-MIN($AT$2:$AT$101))*99,30))),0))</x:f>
      </x:c>
      <x:c r="Y55" s="20" t="str">
        <x:f>IF($B55="","",ROUND(AVERAGE(I55:X55),0))</x:f>
      </x:c>
      <x:c r="Z55" s="20" t="str">
        <x:f>IF($B55="","",ROUND(MAX(30,MIN(99,IFS(ISNUMBER(SEARCH("PG",UPPER(SUBSTITUTE($C55,"/","-")))),84,ISNUMBER(SEARCH("SG",UPPER(SUBSTITUTE($C55,"/","-")))),76,ISNUMBER(SEARCH("SF",UPPER(SUBSTITUTE($C55,"/","-")))),68,ISNUMBER(SEARCH("PF",UPPER(SUBSTITUTE($C55,"/","-")))),55,ISNUMBER(SEARCH("C",UPPER(SUBSTITUTE($C55,"/","-")))),42,TRUE,65)+((195-IFERROR($D55,195))*0.15)+((95-IFERROR($E55,95))*0.08))),0))</x:f>
      </x:c>
      <x:c r="AA55" s="20" t="str">
        <x:f>IF($B55="","",ROUND(MAX(30,MIN(99,IFS(ISNUMBER(SEARCH("PG",UPPER(SUBSTITUTE($C55,"/","-")))),84,ISNUMBER(SEARCH("SG",UPPER(SUBSTITUTE($C55,"/","-")))),76,ISNUMBER(SEARCH("SF",UPPER(SUBSTITUTE($C55,"/","-")))),68,ISNUMBER(SEARCH("PF",UPPER(SUBSTITUTE($C55,"/","-")))),55,ISNUMBER(SEARCH("C",UPPER(SUBSTITUTE($C55,"/","-")))),42,TRUE,65)+((195-IFERROR($D55,195))*0.18)+((95-IFERROR($E55,95))*0.10))),0))</x:f>
      </x:c>
      <x:c r="AB55" s="20" t="str">
        <x:f>IF($B55="","",ROUND(MAX(30,MIN(99,IFS(ISNUMBER(SEARCH("PG",UPPER(SUBSTITUTE($C55,"/","-")))),84,ISNUMBER(SEARCH("SG",UPPER(SUBSTITUTE($C55,"/","-")))),76,ISNUMBER(SEARCH("SF",UPPER(SUBSTITUTE($C55,"/","-")))),68,ISNUMBER(SEARCH("PF",UPPER(SUBSTITUTE($C55,"/","-")))),55,ISNUMBER(SEARCH("C",UPPER(SUBSTITUTE($C55,"/","-")))),42,TRUE,65)+2+((195-IFERROR($D55,195))*0.14)+((95-IFERROR($E55,95))*0.09))),0))</x:f>
      </x:c>
      <x:c r="AC55" s="20" t="str">
        <x:f>IF($B55="","",ROUND(MAX(30,MIN(99,IFS(ISNUMBER(SEARCH("C",UPPER(SUBSTITUTE($C55,"/","-")))),92,ISNUMBER(SEARCH("PF",UPPER(SUBSTITUTE($C55,"/","-")))),82,ISNUMBER(SEARCH("SF",UPPER(SUBSTITUTE($C55,"/","-")))),64,ISNUMBER(SEARCH("SG",UPPER(SUBSTITUTE($C55,"/","-")))),48,ISNUMBER(SEARCH("PG",UPPER(SUBSTITUTE($C55,"/","-")))),36,TRUE,60)+((IFERROR($E55,95)-95)*0.45)+((IFERROR($D55,195)-195)*0.10)+((IFERROR($F55,200)-200)*0.08))),0))</x:f>
      </x:c>
      <x:c r="AD55" s="20" t="str">
        <x:f>IF($B55="","",ROUND(MAX(30,MIN(99,65+((IFERROR($F55,200)-200)*0.22)+((IFERROR($D55,195)-195)*0.08)-((IFERROR($E55,95)-95)*0.07))),0))</x:f>
      </x:c>
      <x:c r="AE55" s="15" t="n">
        <x:f>IFERROR(='입력데이터'!S55,0)*0.4+IFERROR(='입력데이터'!AP55,0)*0.4+IFERROR(='입력데이터'!AO55,0)*0.5</x:f>
        <x:v>0</x:v>
      </x:c>
      <x:c r="AF55" s="15" t="n">
        <x:f>IFERROR(='입력데이터'!S55,0)*0.5+IFERROR(='입력데이터'!P55,0)*0.8+IFERROR(='입력데이터'!AG55,0)</x:f>
        <x:v>0</x:v>
      </x:c>
      <x:c r="AG55" s="15" t="n">
        <x:f>IFERROR(='입력데이터'!AJ55,0)*8+IFERROR(IFERROR(='입력데이터'!AJ55,0)/IFERROR(='입력데이터'!AK55,0),0)*30</x:f>
        <x:v>0</x:v>
      </x:c>
      <x:c r="AH55" s="15" t="n">
        <x:f>IFERROR(='입력데이터'!AJ55,0)*6+IFERROR(='입력데이터'!AH55,0)*4</x:f>
        <x:v>0</x:v>
      </x:c>
      <x:c r="AI55" s="15" t="n">
        <x:f>IFERROR(='입력데이터'!AP55,0)*0.4+IFERROR(='입력데이터'!AE55,0)*1.5+IFERROR(='입력데이터'!Q55,0)*1.5</x:f>
        <x:v>0</x:v>
      </x:c>
      <x:c r="AJ55" s="15" t="n">
        <x:f>MAX(0,IFERROR(='입력데이터'!P55,0)-IFERROR(='입력데이터'!Q55,0)*2-IFERROR(='입력데이터'!T55,0)*3-IFERROR(='입력데이터'!Z55,0))*1.5+IFERROR(='입력데이터'!Y55,0)*0.3</x:f>
        <x:v>0</x:v>
      </x:c>
      <x:c r="AK55" s="15" t="n">
        <x:f>IFERROR(='입력데이터'!V55,0)*0.6+IFERROR(='입력데이터'!U55,0)*2+IFERROR(='입력데이터'!T55,0)*3</x:f>
        <x:v>0</x:v>
      </x:c>
      <x:c r="AL55" s="15" t="n">
        <x:f>IFERROR(='입력데이터'!AB55,0)*0.7+IFERROR(='입력데이터'!AA55,0)*1.5</x:f>
        <x:v>0</x:v>
      </x:c>
      <x:c r="AM55" s="15" t="n">
        <x:f>IFERROR(='입력데이터'!AF55,0)*5+IFERROR(IFERROR(='입력데이터'!AF55,0)/IFERROR(='입력데이터'!AL55,0),0)*3+IFERROR(='입력데이터'!AT55,0)</x:f>
        <x:v>0</x:v>
      </x:c>
      <x:c r="AN55" s="15" t="n">
        <x:f>IFERROR(='입력데이터'!AF55,0)*3+IFERROR(='입력데이터'!AG55,0)*3+IFERROR(IFERROR(='입력데이터'!AF55,0)/IFERROR(='입력데이터'!AL55,0),0)*4</x:f>
        <x:v>0</x:v>
      </x:c>
      <x:c r="AO55" s="15" t="n">
        <x:f>IFERROR(='입력데이터'!AG55,0)*12+IFERROR(='입력데이터'!AU55,0)*6</x:f>
        <x:v>0</x:v>
      </x:c>
      <x:c r="AP55" s="15" t="n">
        <x:f>IFERROR(='입력데이터'!AH55,0)*14+IFERROR(='입력데이터'!AD55,0)</x:f>
        <x:v>0</x:v>
      </x:c>
      <x:c r="AQ55" s="15" t="n">
        <x:f>IFERROR(='입력데이터'!AC55,0)*10</x:f>
        <x:v>0</x:v>
      </x:c>
      <x:c r="AR55" s="15" t="n">
        <x:f>IFERROR(='입력데이터'!AD55,0)*7+IFERROR(='입력데이터'!AH55,0)*2</x:f>
        <x:v>0</x:v>
      </x:c>
      <x:c r="AS55" s="15" t="n">
        <x:f>IFERROR(='입력데이터'!AH55,0)*8+IFERROR(='입력데이터'!AD55,0)*2+IFERROR(='입력데이터'!AI55,0)*4</x:f>
        <x:v>0</x:v>
      </x:c>
      <x:c r="AT55" s="16" t="n">
        <x:f>IFERROR(='입력데이터'!AG55,0)*8+IFERROR(='입력데이터'!AI55,0)*5+IFERROR(='입력데이터'!AU55,0)*4</x:f>
        <x:v>0</x:v>
      </x:c>
    </x:row>
    <x:row r="56">
      <x:c r="A56" s="14" t="str">
        <x:f>IF('입력데이터'!$B56="","",'입력데이터'!A56)</x:f>
      </x:c>
      <x:c r="B56" s="15" t="str">
        <x:f>IF('입력데이터'!$B56="","",'입력데이터'!B56)</x:f>
      </x:c>
      <x:c r="C56" s="15" t="str">
        <x:f>IF('입력데이터'!$B56="","",'입력데이터'!K56)</x:f>
      </x:c>
      <x:c r="D56" s="15" t="str">
        <x:f>IF('입력데이터'!$B56="","",'입력데이터'!H56)</x:f>
      </x:c>
      <x:c r="E56" s="15" t="str">
        <x:f>IF('입력데이터'!$B56="","",'입력데이터'!I56)</x:f>
      </x:c>
      <x:c r="F56" s="15" t="str">
        <x:f>IF('입력데이터'!$B56="","",'입력데이터'!J56)</x:f>
      </x:c>
      <x:c r="G56" s="15" t="str">
        <x:f>IF('입력데이터'!$B56="","",'입력데이터'!L56)</x:f>
      </x:c>
      <x:c r="H56" s="15" t="str">
        <x:f>IF('입력데이터'!$B56="","",'입력데이터'!O56)</x:f>
      </x:c>
      <x:c r="I56" s="20" t="str">
        <x:f>IF($B56="", "", ROUND(MAX(30, MIN(99, IFERROR((AE56-MIN($AE$2:$AE$101))/(MAX($AE$2:$AE$101)-MIN($AE$2:$AE$101))*99,30))),0))</x:f>
      </x:c>
      <x:c r="J56" s="20" t="str">
        <x:f>IF($B56="", "", ROUND(MAX(30, MIN(99, IFERROR((AF56-MIN($AF$2:$AF$101))/(MAX($AF$2:$AF$101)-MIN($AF$2:$AF$101))*99,30))),0))</x:f>
      </x:c>
      <x:c r="K56" s="20" t="str">
        <x:f>IF($B56="", "", ROUND(MAX(30, MIN(99, IFERROR((AG56-MIN($AG$2:$AG$101))/(MAX($AG$2:$AG$101)-MIN($AG$2:$AG$101))*99,30))),0))</x:f>
      </x:c>
      <x:c r="L56" s="20" t="str">
        <x:f>IF($B56="", "", ROUND(MAX(30, MIN(99, IFERROR((AH56-MIN($AH$2:$AH$101))/(MAX($AH$2:$AH$101)-MIN($AH$2:$AH$101))*99,30))),0))</x:f>
      </x:c>
      <x:c r="M56" s="20" t="str">
        <x:f>IF($B56="", "", ROUND(MAX(30, MIN(99, IFERROR((AI56-MIN($AI$2:$AI$101))/(MAX($AI$2:$AI$101)-MIN($AI$2:$AI$101))*99,30))),0))</x:f>
      </x:c>
      <x:c r="N56" s="20" t="str">
        <x:f>IF($B56="", "", ROUND(MAX(30, MIN(99, IFERROR((AJ56-MIN($AJ$2:$AJ$101))/(MAX($AJ$2:$AJ$101)-MIN($AJ$2:$AJ$101))*99,30))),0))</x:f>
      </x:c>
      <x:c r="O56" s="20" t="str">
        <x:f>IF($B56="", "", ROUND(MAX(30, MIN(99, IFERROR((AK56-MIN($AK$2:$AK$101))/(MAX($AK$2:$AK$101)-MIN($AK$2:$AK$101))*99,30))),0))</x:f>
      </x:c>
      <x:c r="P56" s="20" t="str">
        <x:f>IF($B56="", "", ROUND(MAX(30, MIN(99, IFERROR((AL56-MIN($AL$2:$AL$101))/(MAX($AL$2:$AL$101)-MIN($AL$2:$AL$101))*99,30))),0))</x:f>
      </x:c>
      <x:c r="Q56" s="20" t="str">
        <x:f>IF($B56="", "", ROUND(MAX(30, MIN(99, IFERROR((AM56-MIN($AM$2:$AM$101))/(MAX($AM$2:$AM$101)-MIN($AM$2:$AM$101))*99,30))),0))</x:f>
      </x:c>
      <x:c r="R56" s="20" t="str">
        <x:f>IF($B56="", "", ROUND(MAX(30, MIN(99, IFERROR((AN56-MIN($AN$2:$AN$101))/(MAX($AN$2:$AN$101)-MIN($AN$2:$AN$101))*99,30))),0))</x:f>
      </x:c>
      <x:c r="S56" s="20" t="str">
        <x:f>IF($B56="", "", ROUND(MAX(30, MIN(99, IFERROR((AO56-MIN($AO$2:$AO$101))/(MAX($AO$2:$AO$101)-MIN($AO$2:$AO$101))*99,30))),0))</x:f>
      </x:c>
      <x:c r="T56" s="20" t="str">
        <x:f>IF($B56="", "", ROUND(MAX(30, MIN(99, IFERROR((AP56-MIN($AP$2:$AP$101))/(MAX($AP$2:$AP$101)-MIN($AP$2:$AP$101))*99,30))),0))</x:f>
      </x:c>
      <x:c r="U56" s="20" t="str">
        <x:f>IF($B56="", "", ROUND(MAX(30, MIN(99, IFERROR((AQ56-MIN($AQ$2:$AQ$101))/(MAX($AQ$2:$AQ$101)-MIN($AQ$2:$AQ$101))*99,30))),0))</x:f>
      </x:c>
      <x:c r="V56" s="20" t="str">
        <x:f>IF($B56="", "", ROUND(MAX(30, MIN(99, IFERROR((AR56-MIN($AR$2:$AR$101))/(MAX($AR$2:$AR$101)-MIN($AR$2:$AR$101))*99,30))),0))</x:f>
      </x:c>
      <x:c r="W56" s="20" t="str">
        <x:f>IF($B56="", "", ROUND(MAX(30, MIN(99, IFERROR((AS56-MIN($AS$2:$AS$101))/(MAX($AS$2:$AS$101)-MIN($AS$2:$AS$101))*99,30))),0))</x:f>
      </x:c>
      <x:c r="X56" s="20" t="str">
        <x:f>IF($B56="", "", ROUND(MAX(30, MIN(99, IFERROR((AT56-MIN($AT$2:$AT$101))/(MAX($AT$2:$AT$101)-MIN($AT$2:$AT$101))*99,30))),0))</x:f>
      </x:c>
      <x:c r="Y56" s="20" t="str">
        <x:f>IF($B56="","",ROUND(AVERAGE(I56:X56),0))</x:f>
      </x:c>
      <x:c r="Z56" s="20" t="str">
        <x:f>IF($B56="","",ROUND(MAX(30,MIN(99,IFS(ISNUMBER(SEARCH("PG",UPPER(SUBSTITUTE($C56,"/","-")))),84,ISNUMBER(SEARCH("SG",UPPER(SUBSTITUTE($C56,"/","-")))),76,ISNUMBER(SEARCH("SF",UPPER(SUBSTITUTE($C56,"/","-")))),68,ISNUMBER(SEARCH("PF",UPPER(SUBSTITUTE($C56,"/","-")))),55,ISNUMBER(SEARCH("C",UPPER(SUBSTITUTE($C56,"/","-")))),42,TRUE,65)+((195-IFERROR($D56,195))*0.15)+((95-IFERROR($E56,95))*0.08))),0))</x:f>
      </x:c>
      <x:c r="AA56" s="20" t="str">
        <x:f>IF($B56="","",ROUND(MAX(30,MIN(99,IFS(ISNUMBER(SEARCH("PG",UPPER(SUBSTITUTE($C56,"/","-")))),84,ISNUMBER(SEARCH("SG",UPPER(SUBSTITUTE($C56,"/","-")))),76,ISNUMBER(SEARCH("SF",UPPER(SUBSTITUTE($C56,"/","-")))),68,ISNUMBER(SEARCH("PF",UPPER(SUBSTITUTE($C56,"/","-")))),55,ISNUMBER(SEARCH("C",UPPER(SUBSTITUTE($C56,"/","-")))),42,TRUE,65)+((195-IFERROR($D56,195))*0.18)+((95-IFERROR($E56,95))*0.10))),0))</x:f>
      </x:c>
      <x:c r="AB56" s="20" t="str">
        <x:f>IF($B56="","",ROUND(MAX(30,MIN(99,IFS(ISNUMBER(SEARCH("PG",UPPER(SUBSTITUTE($C56,"/","-")))),84,ISNUMBER(SEARCH("SG",UPPER(SUBSTITUTE($C56,"/","-")))),76,ISNUMBER(SEARCH("SF",UPPER(SUBSTITUTE($C56,"/","-")))),68,ISNUMBER(SEARCH("PF",UPPER(SUBSTITUTE($C56,"/","-")))),55,ISNUMBER(SEARCH("C",UPPER(SUBSTITUTE($C56,"/","-")))),42,TRUE,65)+2+((195-IFERROR($D56,195))*0.14)+((95-IFERROR($E56,95))*0.09))),0))</x:f>
      </x:c>
      <x:c r="AC56" s="20" t="str">
        <x:f>IF($B56="","",ROUND(MAX(30,MIN(99,IFS(ISNUMBER(SEARCH("C",UPPER(SUBSTITUTE($C56,"/","-")))),92,ISNUMBER(SEARCH("PF",UPPER(SUBSTITUTE($C56,"/","-")))),82,ISNUMBER(SEARCH("SF",UPPER(SUBSTITUTE($C56,"/","-")))),64,ISNUMBER(SEARCH("SG",UPPER(SUBSTITUTE($C56,"/","-")))),48,ISNUMBER(SEARCH("PG",UPPER(SUBSTITUTE($C56,"/","-")))),36,TRUE,60)+((IFERROR($E56,95)-95)*0.45)+((IFERROR($D56,195)-195)*0.10)+((IFERROR($F56,200)-200)*0.08))),0))</x:f>
      </x:c>
      <x:c r="AD56" s="20" t="str">
        <x:f>IF($B56="","",ROUND(MAX(30,MIN(99,65+((IFERROR($F56,200)-200)*0.22)+((IFERROR($D56,195)-195)*0.08)-((IFERROR($E56,95)-95)*0.07))),0))</x:f>
      </x:c>
      <x:c r="AE56" s="15" t="n">
        <x:f>IFERROR(='입력데이터'!S56,0)*0.4+IFERROR(='입력데이터'!AP56,0)*0.4+IFERROR(='입력데이터'!AO56,0)*0.5</x:f>
        <x:v>0</x:v>
      </x:c>
      <x:c r="AF56" s="15" t="n">
        <x:f>IFERROR(='입력데이터'!S56,0)*0.5+IFERROR(='입력데이터'!P56,0)*0.8+IFERROR(='입력데이터'!AG56,0)</x:f>
        <x:v>0</x:v>
      </x:c>
      <x:c r="AG56" s="15" t="n">
        <x:f>IFERROR(='입력데이터'!AJ56,0)*8+IFERROR(IFERROR(='입력데이터'!AJ56,0)/IFERROR(='입력데이터'!AK56,0),0)*30</x:f>
        <x:v>0</x:v>
      </x:c>
      <x:c r="AH56" s="15" t="n">
        <x:f>IFERROR(='입력데이터'!AJ56,0)*6+IFERROR(='입력데이터'!AH56,0)*4</x:f>
        <x:v>0</x:v>
      </x:c>
      <x:c r="AI56" s="15" t="n">
        <x:f>IFERROR(='입력데이터'!AP56,0)*0.4+IFERROR(='입력데이터'!AE56,0)*1.5+IFERROR(='입력데이터'!Q56,0)*1.5</x:f>
        <x:v>0</x:v>
      </x:c>
      <x:c r="AJ56" s="15" t="n">
        <x:f>MAX(0,IFERROR(='입력데이터'!P56,0)-IFERROR(='입력데이터'!Q56,0)*2-IFERROR(='입력데이터'!T56,0)*3-IFERROR(='입력데이터'!Z56,0))*1.5+IFERROR(='입력데이터'!Y56,0)*0.3</x:f>
        <x:v>0</x:v>
      </x:c>
      <x:c r="AK56" s="15" t="n">
        <x:f>IFERROR(='입력데이터'!V56,0)*0.6+IFERROR(='입력데이터'!U56,0)*2+IFERROR(='입력데이터'!T56,0)*3</x:f>
        <x:v>0</x:v>
      </x:c>
      <x:c r="AL56" s="15" t="n">
        <x:f>IFERROR(='입력데이터'!AB56,0)*0.7+IFERROR(='입력데이터'!AA56,0)*1.5</x:f>
        <x:v>0</x:v>
      </x:c>
      <x:c r="AM56" s="15" t="n">
        <x:f>IFERROR(='입력데이터'!AF56,0)*5+IFERROR(IFERROR(='입력데이터'!AF56,0)/IFERROR(='입력데이터'!AL56,0),0)*3+IFERROR(='입력데이터'!AT56,0)</x:f>
        <x:v>0</x:v>
      </x:c>
      <x:c r="AN56" s="15" t="n">
        <x:f>IFERROR(='입력데이터'!AF56,0)*3+IFERROR(='입력데이터'!AG56,0)*3+IFERROR(IFERROR(='입력데이터'!AF56,0)/IFERROR(='입력데이터'!AL56,0),0)*4</x:f>
        <x:v>0</x:v>
      </x:c>
      <x:c r="AO56" s="15" t="n">
        <x:f>IFERROR(='입력데이터'!AG56,0)*12+IFERROR(='입력데이터'!AU56,0)*6</x:f>
        <x:v>0</x:v>
      </x:c>
      <x:c r="AP56" s="15" t="n">
        <x:f>IFERROR(='입력데이터'!AH56,0)*14+IFERROR(='입력데이터'!AD56,0)</x:f>
        <x:v>0</x:v>
      </x:c>
      <x:c r="AQ56" s="15" t="n">
        <x:f>IFERROR(='입력데이터'!AC56,0)*10</x:f>
        <x:v>0</x:v>
      </x:c>
      <x:c r="AR56" s="15" t="n">
        <x:f>IFERROR(='입력데이터'!AD56,0)*7+IFERROR(='입력데이터'!AH56,0)*2</x:f>
        <x:v>0</x:v>
      </x:c>
      <x:c r="AS56" s="15" t="n">
        <x:f>IFERROR(='입력데이터'!AH56,0)*8+IFERROR(='입력데이터'!AD56,0)*2+IFERROR(='입력데이터'!AI56,0)*4</x:f>
        <x:v>0</x:v>
      </x:c>
      <x:c r="AT56" s="16" t="n">
        <x:f>IFERROR(='입력데이터'!AG56,0)*8+IFERROR(='입력데이터'!AI56,0)*5+IFERROR(='입력데이터'!AU56,0)*4</x:f>
        <x:v>0</x:v>
      </x:c>
    </x:row>
    <x:row r="57">
      <x:c r="A57" s="14" t="str">
        <x:f>IF('입력데이터'!$B57="","",'입력데이터'!A57)</x:f>
      </x:c>
      <x:c r="B57" s="15" t="str">
        <x:f>IF('입력데이터'!$B57="","",'입력데이터'!B57)</x:f>
      </x:c>
      <x:c r="C57" s="15" t="str">
        <x:f>IF('입력데이터'!$B57="","",'입력데이터'!K57)</x:f>
      </x:c>
      <x:c r="D57" s="15" t="str">
        <x:f>IF('입력데이터'!$B57="","",'입력데이터'!H57)</x:f>
      </x:c>
      <x:c r="E57" s="15" t="str">
        <x:f>IF('입력데이터'!$B57="","",'입력데이터'!I57)</x:f>
      </x:c>
      <x:c r="F57" s="15" t="str">
        <x:f>IF('입력데이터'!$B57="","",'입력데이터'!J57)</x:f>
      </x:c>
      <x:c r="G57" s="15" t="str">
        <x:f>IF('입력데이터'!$B57="","",'입력데이터'!L57)</x:f>
      </x:c>
      <x:c r="H57" s="15" t="str">
        <x:f>IF('입력데이터'!$B57="","",'입력데이터'!O57)</x:f>
      </x:c>
      <x:c r="I57" s="20" t="str">
        <x:f>IF($B57="", "", ROUND(MAX(30, MIN(99, IFERROR((AE57-MIN($AE$2:$AE$101))/(MAX($AE$2:$AE$101)-MIN($AE$2:$AE$101))*99,30))),0))</x:f>
      </x:c>
      <x:c r="J57" s="20" t="str">
        <x:f>IF($B57="", "", ROUND(MAX(30, MIN(99, IFERROR((AF57-MIN($AF$2:$AF$101))/(MAX($AF$2:$AF$101)-MIN($AF$2:$AF$101))*99,30))),0))</x:f>
      </x:c>
      <x:c r="K57" s="20" t="str">
        <x:f>IF($B57="", "", ROUND(MAX(30, MIN(99, IFERROR((AG57-MIN($AG$2:$AG$101))/(MAX($AG$2:$AG$101)-MIN($AG$2:$AG$101))*99,30))),0))</x:f>
      </x:c>
      <x:c r="L57" s="20" t="str">
        <x:f>IF($B57="", "", ROUND(MAX(30, MIN(99, IFERROR((AH57-MIN($AH$2:$AH$101))/(MAX($AH$2:$AH$101)-MIN($AH$2:$AH$101))*99,30))),0))</x:f>
      </x:c>
      <x:c r="M57" s="20" t="str">
        <x:f>IF($B57="", "", ROUND(MAX(30, MIN(99, IFERROR((AI57-MIN($AI$2:$AI$101))/(MAX($AI$2:$AI$101)-MIN($AI$2:$AI$101))*99,30))),0))</x:f>
      </x:c>
      <x:c r="N57" s="20" t="str">
        <x:f>IF($B57="", "", ROUND(MAX(30, MIN(99, IFERROR((AJ57-MIN($AJ$2:$AJ$101))/(MAX($AJ$2:$AJ$101)-MIN($AJ$2:$AJ$101))*99,30))),0))</x:f>
      </x:c>
      <x:c r="O57" s="20" t="str">
        <x:f>IF($B57="", "", ROUND(MAX(30, MIN(99, IFERROR((AK57-MIN($AK$2:$AK$101))/(MAX($AK$2:$AK$101)-MIN($AK$2:$AK$101))*99,30))),0))</x:f>
      </x:c>
      <x:c r="P57" s="20" t="str">
        <x:f>IF($B57="", "", ROUND(MAX(30, MIN(99, IFERROR((AL57-MIN($AL$2:$AL$101))/(MAX($AL$2:$AL$101)-MIN($AL$2:$AL$101))*99,30))),0))</x:f>
      </x:c>
      <x:c r="Q57" s="20" t="str">
        <x:f>IF($B57="", "", ROUND(MAX(30, MIN(99, IFERROR((AM57-MIN($AM$2:$AM$101))/(MAX($AM$2:$AM$101)-MIN($AM$2:$AM$101))*99,30))),0))</x:f>
      </x:c>
      <x:c r="R57" s="20" t="str">
        <x:f>IF($B57="", "", ROUND(MAX(30, MIN(99, IFERROR((AN57-MIN($AN$2:$AN$101))/(MAX($AN$2:$AN$101)-MIN($AN$2:$AN$101))*99,30))),0))</x:f>
      </x:c>
      <x:c r="S57" s="20" t="str">
        <x:f>IF($B57="", "", ROUND(MAX(30, MIN(99, IFERROR((AO57-MIN($AO$2:$AO$101))/(MAX($AO$2:$AO$101)-MIN($AO$2:$AO$101))*99,30))),0))</x:f>
      </x:c>
      <x:c r="T57" s="20" t="str">
        <x:f>IF($B57="", "", ROUND(MAX(30, MIN(99, IFERROR((AP57-MIN($AP$2:$AP$101))/(MAX($AP$2:$AP$101)-MIN($AP$2:$AP$101))*99,30))),0))</x:f>
      </x:c>
      <x:c r="U57" s="20" t="str">
        <x:f>IF($B57="", "", ROUND(MAX(30, MIN(99, IFERROR((AQ57-MIN($AQ$2:$AQ$101))/(MAX($AQ$2:$AQ$101)-MIN($AQ$2:$AQ$101))*99,30))),0))</x:f>
      </x:c>
      <x:c r="V57" s="20" t="str">
        <x:f>IF($B57="", "", ROUND(MAX(30, MIN(99, IFERROR((AR57-MIN($AR$2:$AR$101))/(MAX($AR$2:$AR$101)-MIN($AR$2:$AR$101))*99,30))),0))</x:f>
      </x:c>
      <x:c r="W57" s="20" t="str">
        <x:f>IF($B57="", "", ROUND(MAX(30, MIN(99, IFERROR((AS57-MIN($AS$2:$AS$101))/(MAX($AS$2:$AS$101)-MIN($AS$2:$AS$101))*99,30))),0))</x:f>
      </x:c>
      <x:c r="X57" s="20" t="str">
        <x:f>IF($B57="", "", ROUND(MAX(30, MIN(99, IFERROR((AT57-MIN($AT$2:$AT$101))/(MAX($AT$2:$AT$101)-MIN($AT$2:$AT$101))*99,30))),0))</x:f>
      </x:c>
      <x:c r="Y57" s="20" t="str">
        <x:f>IF($B57="","",ROUND(AVERAGE(I57:X57),0))</x:f>
      </x:c>
      <x:c r="Z57" s="20" t="str">
        <x:f>IF($B57="","",ROUND(MAX(30,MIN(99,IFS(ISNUMBER(SEARCH("PG",UPPER(SUBSTITUTE($C57,"/","-")))),84,ISNUMBER(SEARCH("SG",UPPER(SUBSTITUTE($C57,"/","-")))),76,ISNUMBER(SEARCH("SF",UPPER(SUBSTITUTE($C57,"/","-")))),68,ISNUMBER(SEARCH("PF",UPPER(SUBSTITUTE($C57,"/","-")))),55,ISNUMBER(SEARCH("C",UPPER(SUBSTITUTE($C57,"/","-")))),42,TRUE,65)+((195-IFERROR($D57,195))*0.15)+((95-IFERROR($E57,95))*0.08))),0))</x:f>
      </x:c>
      <x:c r="AA57" s="20" t="str">
        <x:f>IF($B57="","",ROUND(MAX(30,MIN(99,IFS(ISNUMBER(SEARCH("PG",UPPER(SUBSTITUTE($C57,"/","-")))),84,ISNUMBER(SEARCH("SG",UPPER(SUBSTITUTE($C57,"/","-")))),76,ISNUMBER(SEARCH("SF",UPPER(SUBSTITUTE($C57,"/","-")))),68,ISNUMBER(SEARCH("PF",UPPER(SUBSTITUTE($C57,"/","-")))),55,ISNUMBER(SEARCH("C",UPPER(SUBSTITUTE($C57,"/","-")))),42,TRUE,65)+((195-IFERROR($D57,195))*0.18)+((95-IFERROR($E57,95))*0.10))),0))</x:f>
      </x:c>
      <x:c r="AB57" s="20" t="str">
        <x:f>IF($B57="","",ROUND(MAX(30,MIN(99,IFS(ISNUMBER(SEARCH("PG",UPPER(SUBSTITUTE($C57,"/","-")))),84,ISNUMBER(SEARCH("SG",UPPER(SUBSTITUTE($C57,"/","-")))),76,ISNUMBER(SEARCH("SF",UPPER(SUBSTITUTE($C57,"/","-")))),68,ISNUMBER(SEARCH("PF",UPPER(SUBSTITUTE($C57,"/","-")))),55,ISNUMBER(SEARCH("C",UPPER(SUBSTITUTE($C57,"/","-")))),42,TRUE,65)+2+((195-IFERROR($D57,195))*0.14)+((95-IFERROR($E57,95))*0.09))),0))</x:f>
      </x:c>
      <x:c r="AC57" s="20" t="str">
        <x:f>IF($B57="","",ROUND(MAX(30,MIN(99,IFS(ISNUMBER(SEARCH("C",UPPER(SUBSTITUTE($C57,"/","-")))),92,ISNUMBER(SEARCH("PF",UPPER(SUBSTITUTE($C57,"/","-")))),82,ISNUMBER(SEARCH("SF",UPPER(SUBSTITUTE($C57,"/","-")))),64,ISNUMBER(SEARCH("SG",UPPER(SUBSTITUTE($C57,"/","-")))),48,ISNUMBER(SEARCH("PG",UPPER(SUBSTITUTE($C57,"/","-")))),36,TRUE,60)+((IFERROR($E57,95)-95)*0.45)+((IFERROR($D57,195)-195)*0.10)+((IFERROR($F57,200)-200)*0.08))),0))</x:f>
      </x:c>
      <x:c r="AD57" s="20" t="str">
        <x:f>IF($B57="","",ROUND(MAX(30,MIN(99,65+((IFERROR($F57,200)-200)*0.22)+((IFERROR($D57,195)-195)*0.08)-((IFERROR($E57,95)-95)*0.07))),0))</x:f>
      </x:c>
      <x:c r="AE57" s="15" t="n">
        <x:f>IFERROR(='입력데이터'!S57,0)*0.4+IFERROR(='입력데이터'!AP57,0)*0.4+IFERROR(='입력데이터'!AO57,0)*0.5</x:f>
        <x:v>0</x:v>
      </x:c>
      <x:c r="AF57" s="15" t="n">
        <x:f>IFERROR(='입력데이터'!S57,0)*0.5+IFERROR(='입력데이터'!P57,0)*0.8+IFERROR(='입력데이터'!AG57,0)</x:f>
        <x:v>0</x:v>
      </x:c>
      <x:c r="AG57" s="15" t="n">
        <x:f>IFERROR(='입력데이터'!AJ57,0)*8+IFERROR(IFERROR(='입력데이터'!AJ57,0)/IFERROR(='입력데이터'!AK57,0),0)*30</x:f>
        <x:v>0</x:v>
      </x:c>
      <x:c r="AH57" s="15" t="n">
        <x:f>IFERROR(='입력데이터'!AJ57,0)*6+IFERROR(='입력데이터'!AH57,0)*4</x:f>
        <x:v>0</x:v>
      </x:c>
      <x:c r="AI57" s="15" t="n">
        <x:f>IFERROR(='입력데이터'!AP57,0)*0.4+IFERROR(='입력데이터'!AE57,0)*1.5+IFERROR(='입력데이터'!Q57,0)*1.5</x:f>
        <x:v>0</x:v>
      </x:c>
      <x:c r="AJ57" s="15" t="n">
        <x:f>MAX(0,IFERROR(='입력데이터'!P57,0)-IFERROR(='입력데이터'!Q57,0)*2-IFERROR(='입력데이터'!T57,0)*3-IFERROR(='입력데이터'!Z57,0))*1.5+IFERROR(='입력데이터'!Y57,0)*0.3</x:f>
        <x:v>0</x:v>
      </x:c>
      <x:c r="AK57" s="15" t="n">
        <x:f>IFERROR(='입력데이터'!V57,0)*0.6+IFERROR(='입력데이터'!U57,0)*2+IFERROR(='입력데이터'!T57,0)*3</x:f>
        <x:v>0</x:v>
      </x:c>
      <x:c r="AL57" s="15" t="n">
        <x:f>IFERROR(='입력데이터'!AB57,0)*0.7+IFERROR(='입력데이터'!AA57,0)*1.5</x:f>
        <x:v>0</x:v>
      </x:c>
      <x:c r="AM57" s="15" t="n">
        <x:f>IFERROR(='입력데이터'!AF57,0)*5+IFERROR(IFERROR(='입력데이터'!AF57,0)/IFERROR(='입력데이터'!AL57,0),0)*3+IFERROR(='입력데이터'!AT57,0)</x:f>
        <x:v>0</x:v>
      </x:c>
      <x:c r="AN57" s="15" t="n">
        <x:f>IFERROR(='입력데이터'!AF57,0)*3+IFERROR(='입력데이터'!AG57,0)*3+IFERROR(IFERROR(='입력데이터'!AF57,0)/IFERROR(='입력데이터'!AL57,0),0)*4</x:f>
        <x:v>0</x:v>
      </x:c>
      <x:c r="AO57" s="15" t="n">
        <x:f>IFERROR(='입력데이터'!AG57,0)*12+IFERROR(='입력데이터'!AU57,0)*6</x:f>
        <x:v>0</x:v>
      </x:c>
      <x:c r="AP57" s="15" t="n">
        <x:f>IFERROR(='입력데이터'!AH57,0)*14+IFERROR(='입력데이터'!AD57,0)</x:f>
        <x:v>0</x:v>
      </x:c>
      <x:c r="AQ57" s="15" t="n">
        <x:f>IFERROR(='입력데이터'!AC57,0)*10</x:f>
        <x:v>0</x:v>
      </x:c>
      <x:c r="AR57" s="15" t="n">
        <x:f>IFERROR(='입력데이터'!AD57,0)*7+IFERROR(='입력데이터'!AH57,0)*2</x:f>
        <x:v>0</x:v>
      </x:c>
      <x:c r="AS57" s="15" t="n">
        <x:f>IFERROR(='입력데이터'!AH57,0)*8+IFERROR(='입력데이터'!AD57,0)*2+IFERROR(='입력데이터'!AI57,0)*4</x:f>
        <x:v>0</x:v>
      </x:c>
      <x:c r="AT57" s="16" t="n">
        <x:f>IFERROR(='입력데이터'!AG57,0)*8+IFERROR(='입력데이터'!AI57,0)*5+IFERROR(='입력데이터'!AU57,0)*4</x:f>
        <x:v>0</x:v>
      </x:c>
    </x:row>
    <x:row r="58">
      <x:c r="A58" s="14" t="str">
        <x:f>IF('입력데이터'!$B58="","",'입력데이터'!A58)</x:f>
      </x:c>
      <x:c r="B58" s="15" t="str">
        <x:f>IF('입력데이터'!$B58="","",'입력데이터'!B58)</x:f>
      </x:c>
      <x:c r="C58" s="15" t="str">
        <x:f>IF('입력데이터'!$B58="","",'입력데이터'!K58)</x:f>
      </x:c>
      <x:c r="D58" s="15" t="str">
        <x:f>IF('입력데이터'!$B58="","",'입력데이터'!H58)</x:f>
      </x:c>
      <x:c r="E58" s="15" t="str">
        <x:f>IF('입력데이터'!$B58="","",'입력데이터'!I58)</x:f>
      </x:c>
      <x:c r="F58" s="15" t="str">
        <x:f>IF('입력데이터'!$B58="","",'입력데이터'!J58)</x:f>
      </x:c>
      <x:c r="G58" s="15" t="str">
        <x:f>IF('입력데이터'!$B58="","",'입력데이터'!L58)</x:f>
      </x:c>
      <x:c r="H58" s="15" t="str">
        <x:f>IF('입력데이터'!$B58="","",'입력데이터'!O58)</x:f>
      </x:c>
      <x:c r="I58" s="20" t="str">
        <x:f>IF($B58="", "", ROUND(MAX(30, MIN(99, IFERROR((AE58-MIN($AE$2:$AE$101))/(MAX($AE$2:$AE$101)-MIN($AE$2:$AE$101))*99,30))),0))</x:f>
      </x:c>
      <x:c r="J58" s="20" t="str">
        <x:f>IF($B58="", "", ROUND(MAX(30, MIN(99, IFERROR((AF58-MIN($AF$2:$AF$101))/(MAX($AF$2:$AF$101)-MIN($AF$2:$AF$101))*99,30))),0))</x:f>
      </x:c>
      <x:c r="K58" s="20" t="str">
        <x:f>IF($B58="", "", ROUND(MAX(30, MIN(99, IFERROR((AG58-MIN($AG$2:$AG$101))/(MAX($AG$2:$AG$101)-MIN($AG$2:$AG$101))*99,30))),0))</x:f>
      </x:c>
      <x:c r="L58" s="20" t="str">
        <x:f>IF($B58="", "", ROUND(MAX(30, MIN(99, IFERROR((AH58-MIN($AH$2:$AH$101))/(MAX($AH$2:$AH$101)-MIN($AH$2:$AH$101))*99,30))),0))</x:f>
      </x:c>
      <x:c r="M58" s="20" t="str">
        <x:f>IF($B58="", "", ROUND(MAX(30, MIN(99, IFERROR((AI58-MIN($AI$2:$AI$101))/(MAX($AI$2:$AI$101)-MIN($AI$2:$AI$101))*99,30))),0))</x:f>
      </x:c>
      <x:c r="N58" s="20" t="str">
        <x:f>IF($B58="", "", ROUND(MAX(30, MIN(99, IFERROR((AJ58-MIN($AJ$2:$AJ$101))/(MAX($AJ$2:$AJ$101)-MIN($AJ$2:$AJ$101))*99,30))),0))</x:f>
      </x:c>
      <x:c r="O58" s="20" t="str">
        <x:f>IF($B58="", "", ROUND(MAX(30, MIN(99, IFERROR((AK58-MIN($AK$2:$AK$101))/(MAX($AK$2:$AK$101)-MIN($AK$2:$AK$101))*99,30))),0))</x:f>
      </x:c>
      <x:c r="P58" s="20" t="str">
        <x:f>IF($B58="", "", ROUND(MAX(30, MIN(99, IFERROR((AL58-MIN($AL$2:$AL$101))/(MAX($AL$2:$AL$101)-MIN($AL$2:$AL$101))*99,30))),0))</x:f>
      </x:c>
      <x:c r="Q58" s="20" t="str">
        <x:f>IF($B58="", "", ROUND(MAX(30, MIN(99, IFERROR((AM58-MIN($AM$2:$AM$101))/(MAX($AM$2:$AM$101)-MIN($AM$2:$AM$101))*99,30))),0))</x:f>
      </x:c>
      <x:c r="R58" s="20" t="str">
        <x:f>IF($B58="", "", ROUND(MAX(30, MIN(99, IFERROR((AN58-MIN($AN$2:$AN$101))/(MAX($AN$2:$AN$101)-MIN($AN$2:$AN$101))*99,30))),0))</x:f>
      </x:c>
      <x:c r="S58" s="20" t="str">
        <x:f>IF($B58="", "", ROUND(MAX(30, MIN(99, IFERROR((AO58-MIN($AO$2:$AO$101))/(MAX($AO$2:$AO$101)-MIN($AO$2:$AO$101))*99,30))),0))</x:f>
      </x:c>
      <x:c r="T58" s="20" t="str">
        <x:f>IF($B58="", "", ROUND(MAX(30, MIN(99, IFERROR((AP58-MIN($AP$2:$AP$101))/(MAX($AP$2:$AP$101)-MIN($AP$2:$AP$101))*99,30))),0))</x:f>
      </x:c>
      <x:c r="U58" s="20" t="str">
        <x:f>IF($B58="", "", ROUND(MAX(30, MIN(99, IFERROR((AQ58-MIN($AQ$2:$AQ$101))/(MAX($AQ$2:$AQ$101)-MIN($AQ$2:$AQ$101))*99,30))),0))</x:f>
      </x:c>
      <x:c r="V58" s="20" t="str">
        <x:f>IF($B58="", "", ROUND(MAX(30, MIN(99, IFERROR((AR58-MIN($AR$2:$AR$101))/(MAX($AR$2:$AR$101)-MIN($AR$2:$AR$101))*99,30))),0))</x:f>
      </x:c>
      <x:c r="W58" s="20" t="str">
        <x:f>IF($B58="", "", ROUND(MAX(30, MIN(99, IFERROR((AS58-MIN($AS$2:$AS$101))/(MAX($AS$2:$AS$101)-MIN($AS$2:$AS$101))*99,30))),0))</x:f>
      </x:c>
      <x:c r="X58" s="20" t="str">
        <x:f>IF($B58="", "", ROUND(MAX(30, MIN(99, IFERROR((AT58-MIN($AT$2:$AT$101))/(MAX($AT$2:$AT$101)-MIN($AT$2:$AT$101))*99,30))),0))</x:f>
      </x:c>
      <x:c r="Y58" s="20" t="str">
        <x:f>IF($B58="","",ROUND(AVERAGE(I58:X58),0))</x:f>
      </x:c>
      <x:c r="Z58" s="20" t="str">
        <x:f>IF($B58="","",ROUND(MAX(30,MIN(99,IFS(ISNUMBER(SEARCH("PG",UPPER(SUBSTITUTE($C58,"/","-")))),84,ISNUMBER(SEARCH("SG",UPPER(SUBSTITUTE($C58,"/","-")))),76,ISNUMBER(SEARCH("SF",UPPER(SUBSTITUTE($C58,"/","-")))),68,ISNUMBER(SEARCH("PF",UPPER(SUBSTITUTE($C58,"/","-")))),55,ISNUMBER(SEARCH("C",UPPER(SUBSTITUTE($C58,"/","-")))),42,TRUE,65)+((195-IFERROR($D58,195))*0.15)+((95-IFERROR($E58,95))*0.08))),0))</x:f>
      </x:c>
      <x:c r="AA58" s="20" t="str">
        <x:f>IF($B58="","",ROUND(MAX(30,MIN(99,IFS(ISNUMBER(SEARCH("PG",UPPER(SUBSTITUTE($C58,"/","-")))),84,ISNUMBER(SEARCH("SG",UPPER(SUBSTITUTE($C58,"/","-")))),76,ISNUMBER(SEARCH("SF",UPPER(SUBSTITUTE($C58,"/","-")))),68,ISNUMBER(SEARCH("PF",UPPER(SUBSTITUTE($C58,"/","-")))),55,ISNUMBER(SEARCH("C",UPPER(SUBSTITUTE($C58,"/","-")))),42,TRUE,65)+((195-IFERROR($D58,195))*0.18)+((95-IFERROR($E58,95))*0.10))),0))</x:f>
      </x:c>
      <x:c r="AB58" s="20" t="str">
        <x:f>IF($B58="","",ROUND(MAX(30,MIN(99,IFS(ISNUMBER(SEARCH("PG",UPPER(SUBSTITUTE($C58,"/","-")))),84,ISNUMBER(SEARCH("SG",UPPER(SUBSTITUTE($C58,"/","-")))),76,ISNUMBER(SEARCH("SF",UPPER(SUBSTITUTE($C58,"/","-")))),68,ISNUMBER(SEARCH("PF",UPPER(SUBSTITUTE($C58,"/","-")))),55,ISNUMBER(SEARCH("C",UPPER(SUBSTITUTE($C58,"/","-")))),42,TRUE,65)+2+((195-IFERROR($D58,195))*0.14)+((95-IFERROR($E58,95))*0.09))),0))</x:f>
      </x:c>
      <x:c r="AC58" s="20" t="str">
        <x:f>IF($B58="","",ROUND(MAX(30,MIN(99,IFS(ISNUMBER(SEARCH("C",UPPER(SUBSTITUTE($C58,"/","-")))),92,ISNUMBER(SEARCH("PF",UPPER(SUBSTITUTE($C58,"/","-")))),82,ISNUMBER(SEARCH("SF",UPPER(SUBSTITUTE($C58,"/","-")))),64,ISNUMBER(SEARCH("SG",UPPER(SUBSTITUTE($C58,"/","-")))),48,ISNUMBER(SEARCH("PG",UPPER(SUBSTITUTE($C58,"/","-")))),36,TRUE,60)+((IFERROR($E58,95)-95)*0.45)+((IFERROR($D58,195)-195)*0.10)+((IFERROR($F58,200)-200)*0.08))),0))</x:f>
      </x:c>
      <x:c r="AD58" s="20" t="str">
        <x:f>IF($B58="","",ROUND(MAX(30,MIN(99,65+((IFERROR($F58,200)-200)*0.22)+((IFERROR($D58,195)-195)*0.08)-((IFERROR($E58,95)-95)*0.07))),0))</x:f>
      </x:c>
      <x:c r="AE58" s="15" t="n">
        <x:f>IFERROR(='입력데이터'!S58,0)*0.4+IFERROR(='입력데이터'!AP58,0)*0.4+IFERROR(='입력데이터'!AO58,0)*0.5</x:f>
        <x:v>0</x:v>
      </x:c>
      <x:c r="AF58" s="15" t="n">
        <x:f>IFERROR(='입력데이터'!S58,0)*0.5+IFERROR(='입력데이터'!P58,0)*0.8+IFERROR(='입력데이터'!AG58,0)</x:f>
        <x:v>0</x:v>
      </x:c>
      <x:c r="AG58" s="15" t="n">
        <x:f>IFERROR(='입력데이터'!AJ58,0)*8+IFERROR(IFERROR(='입력데이터'!AJ58,0)/IFERROR(='입력데이터'!AK58,0),0)*30</x:f>
        <x:v>0</x:v>
      </x:c>
      <x:c r="AH58" s="15" t="n">
        <x:f>IFERROR(='입력데이터'!AJ58,0)*6+IFERROR(='입력데이터'!AH58,0)*4</x:f>
        <x:v>0</x:v>
      </x:c>
      <x:c r="AI58" s="15" t="n">
        <x:f>IFERROR(='입력데이터'!AP58,0)*0.4+IFERROR(='입력데이터'!AE58,0)*1.5+IFERROR(='입력데이터'!Q58,0)*1.5</x:f>
        <x:v>0</x:v>
      </x:c>
      <x:c r="AJ58" s="15" t="n">
        <x:f>MAX(0,IFERROR(='입력데이터'!P58,0)-IFERROR(='입력데이터'!Q58,0)*2-IFERROR(='입력데이터'!T58,0)*3-IFERROR(='입력데이터'!Z58,0))*1.5+IFERROR(='입력데이터'!Y58,0)*0.3</x:f>
        <x:v>0</x:v>
      </x:c>
      <x:c r="AK58" s="15" t="n">
        <x:f>IFERROR(='입력데이터'!V58,0)*0.6+IFERROR(='입력데이터'!U58,0)*2+IFERROR(='입력데이터'!T58,0)*3</x:f>
        <x:v>0</x:v>
      </x:c>
      <x:c r="AL58" s="15" t="n">
        <x:f>IFERROR(='입력데이터'!AB58,0)*0.7+IFERROR(='입력데이터'!AA58,0)*1.5</x:f>
        <x:v>0</x:v>
      </x:c>
      <x:c r="AM58" s="15" t="n">
        <x:f>IFERROR(='입력데이터'!AF58,0)*5+IFERROR(IFERROR(='입력데이터'!AF58,0)/IFERROR(='입력데이터'!AL58,0),0)*3+IFERROR(='입력데이터'!AT58,0)</x:f>
        <x:v>0</x:v>
      </x:c>
      <x:c r="AN58" s="15" t="n">
        <x:f>IFERROR(='입력데이터'!AF58,0)*3+IFERROR(='입력데이터'!AG58,0)*3+IFERROR(IFERROR(='입력데이터'!AF58,0)/IFERROR(='입력데이터'!AL58,0),0)*4</x:f>
        <x:v>0</x:v>
      </x:c>
      <x:c r="AO58" s="15" t="n">
        <x:f>IFERROR(='입력데이터'!AG58,0)*12+IFERROR(='입력데이터'!AU58,0)*6</x:f>
        <x:v>0</x:v>
      </x:c>
      <x:c r="AP58" s="15" t="n">
        <x:f>IFERROR(='입력데이터'!AH58,0)*14+IFERROR(='입력데이터'!AD58,0)</x:f>
        <x:v>0</x:v>
      </x:c>
      <x:c r="AQ58" s="15" t="n">
        <x:f>IFERROR(='입력데이터'!AC58,0)*10</x:f>
        <x:v>0</x:v>
      </x:c>
      <x:c r="AR58" s="15" t="n">
        <x:f>IFERROR(='입력데이터'!AD58,0)*7+IFERROR(='입력데이터'!AH58,0)*2</x:f>
        <x:v>0</x:v>
      </x:c>
      <x:c r="AS58" s="15" t="n">
        <x:f>IFERROR(='입력데이터'!AH58,0)*8+IFERROR(='입력데이터'!AD58,0)*2+IFERROR(='입력데이터'!AI58,0)*4</x:f>
        <x:v>0</x:v>
      </x:c>
      <x:c r="AT58" s="16" t="n">
        <x:f>IFERROR(='입력데이터'!AG58,0)*8+IFERROR(='입력데이터'!AI58,0)*5+IFERROR(='입력데이터'!AU58,0)*4</x:f>
        <x:v>0</x:v>
      </x:c>
    </x:row>
    <x:row r="59">
      <x:c r="A59" s="14" t="str">
        <x:f>IF('입력데이터'!$B59="","",'입력데이터'!A59)</x:f>
      </x:c>
      <x:c r="B59" s="15" t="str">
        <x:f>IF('입력데이터'!$B59="","",'입력데이터'!B59)</x:f>
      </x:c>
      <x:c r="C59" s="15" t="str">
        <x:f>IF('입력데이터'!$B59="","",'입력데이터'!K59)</x:f>
      </x:c>
      <x:c r="D59" s="15" t="str">
        <x:f>IF('입력데이터'!$B59="","",'입력데이터'!H59)</x:f>
      </x:c>
      <x:c r="E59" s="15" t="str">
        <x:f>IF('입력데이터'!$B59="","",'입력데이터'!I59)</x:f>
      </x:c>
      <x:c r="F59" s="15" t="str">
        <x:f>IF('입력데이터'!$B59="","",'입력데이터'!J59)</x:f>
      </x:c>
      <x:c r="G59" s="15" t="str">
        <x:f>IF('입력데이터'!$B59="","",'입력데이터'!L59)</x:f>
      </x:c>
      <x:c r="H59" s="15" t="str">
        <x:f>IF('입력데이터'!$B59="","",'입력데이터'!O59)</x:f>
      </x:c>
      <x:c r="I59" s="20" t="str">
        <x:f>IF($B59="", "", ROUND(MAX(30, MIN(99, IFERROR((AE59-MIN($AE$2:$AE$101))/(MAX($AE$2:$AE$101)-MIN($AE$2:$AE$101))*99,30))),0))</x:f>
      </x:c>
      <x:c r="J59" s="20" t="str">
        <x:f>IF($B59="", "", ROUND(MAX(30, MIN(99, IFERROR((AF59-MIN($AF$2:$AF$101))/(MAX($AF$2:$AF$101)-MIN($AF$2:$AF$101))*99,30))),0))</x:f>
      </x:c>
      <x:c r="K59" s="20" t="str">
        <x:f>IF($B59="", "", ROUND(MAX(30, MIN(99, IFERROR((AG59-MIN($AG$2:$AG$101))/(MAX($AG$2:$AG$101)-MIN($AG$2:$AG$101))*99,30))),0))</x:f>
      </x:c>
      <x:c r="L59" s="20" t="str">
        <x:f>IF($B59="", "", ROUND(MAX(30, MIN(99, IFERROR((AH59-MIN($AH$2:$AH$101))/(MAX($AH$2:$AH$101)-MIN($AH$2:$AH$101))*99,30))),0))</x:f>
      </x:c>
      <x:c r="M59" s="20" t="str">
        <x:f>IF($B59="", "", ROUND(MAX(30, MIN(99, IFERROR((AI59-MIN($AI$2:$AI$101))/(MAX($AI$2:$AI$101)-MIN($AI$2:$AI$101))*99,30))),0))</x:f>
      </x:c>
      <x:c r="N59" s="20" t="str">
        <x:f>IF($B59="", "", ROUND(MAX(30, MIN(99, IFERROR((AJ59-MIN($AJ$2:$AJ$101))/(MAX($AJ$2:$AJ$101)-MIN($AJ$2:$AJ$101))*99,30))),0))</x:f>
      </x:c>
      <x:c r="O59" s="20" t="str">
        <x:f>IF($B59="", "", ROUND(MAX(30, MIN(99, IFERROR((AK59-MIN($AK$2:$AK$101))/(MAX($AK$2:$AK$101)-MIN($AK$2:$AK$101))*99,30))),0))</x:f>
      </x:c>
      <x:c r="P59" s="20" t="str">
        <x:f>IF($B59="", "", ROUND(MAX(30, MIN(99, IFERROR((AL59-MIN($AL$2:$AL$101))/(MAX($AL$2:$AL$101)-MIN($AL$2:$AL$101))*99,30))),0))</x:f>
      </x:c>
      <x:c r="Q59" s="20" t="str">
        <x:f>IF($B59="", "", ROUND(MAX(30, MIN(99, IFERROR((AM59-MIN($AM$2:$AM$101))/(MAX($AM$2:$AM$101)-MIN($AM$2:$AM$101))*99,30))),0))</x:f>
      </x:c>
      <x:c r="R59" s="20" t="str">
        <x:f>IF($B59="", "", ROUND(MAX(30, MIN(99, IFERROR((AN59-MIN($AN$2:$AN$101))/(MAX($AN$2:$AN$101)-MIN($AN$2:$AN$101))*99,30))),0))</x:f>
      </x:c>
      <x:c r="S59" s="20" t="str">
        <x:f>IF($B59="", "", ROUND(MAX(30, MIN(99, IFERROR((AO59-MIN($AO$2:$AO$101))/(MAX($AO$2:$AO$101)-MIN($AO$2:$AO$101))*99,30))),0))</x:f>
      </x:c>
      <x:c r="T59" s="20" t="str">
        <x:f>IF($B59="", "", ROUND(MAX(30, MIN(99, IFERROR((AP59-MIN($AP$2:$AP$101))/(MAX($AP$2:$AP$101)-MIN($AP$2:$AP$101))*99,30))),0))</x:f>
      </x:c>
      <x:c r="U59" s="20" t="str">
        <x:f>IF($B59="", "", ROUND(MAX(30, MIN(99, IFERROR((AQ59-MIN($AQ$2:$AQ$101))/(MAX($AQ$2:$AQ$101)-MIN($AQ$2:$AQ$101))*99,30))),0))</x:f>
      </x:c>
      <x:c r="V59" s="20" t="str">
        <x:f>IF($B59="", "", ROUND(MAX(30, MIN(99, IFERROR((AR59-MIN($AR$2:$AR$101))/(MAX($AR$2:$AR$101)-MIN($AR$2:$AR$101))*99,30))),0))</x:f>
      </x:c>
      <x:c r="W59" s="20" t="str">
        <x:f>IF($B59="", "", ROUND(MAX(30, MIN(99, IFERROR((AS59-MIN($AS$2:$AS$101))/(MAX($AS$2:$AS$101)-MIN($AS$2:$AS$101))*99,30))),0))</x:f>
      </x:c>
      <x:c r="X59" s="20" t="str">
        <x:f>IF($B59="", "", ROUND(MAX(30, MIN(99, IFERROR((AT59-MIN($AT$2:$AT$101))/(MAX($AT$2:$AT$101)-MIN($AT$2:$AT$101))*99,30))),0))</x:f>
      </x:c>
      <x:c r="Y59" s="20" t="str">
        <x:f>IF($B59="","",ROUND(AVERAGE(I59:X59),0))</x:f>
      </x:c>
      <x:c r="Z59" s="20" t="str">
        <x:f>IF($B59="","",ROUND(MAX(30,MIN(99,IFS(ISNUMBER(SEARCH("PG",UPPER(SUBSTITUTE($C59,"/","-")))),84,ISNUMBER(SEARCH("SG",UPPER(SUBSTITUTE($C59,"/","-")))),76,ISNUMBER(SEARCH("SF",UPPER(SUBSTITUTE($C59,"/","-")))),68,ISNUMBER(SEARCH("PF",UPPER(SUBSTITUTE($C59,"/","-")))),55,ISNUMBER(SEARCH("C",UPPER(SUBSTITUTE($C59,"/","-")))),42,TRUE,65)+((195-IFERROR($D59,195))*0.15)+((95-IFERROR($E59,95))*0.08))),0))</x:f>
      </x:c>
      <x:c r="AA59" s="20" t="str">
        <x:f>IF($B59="","",ROUND(MAX(30,MIN(99,IFS(ISNUMBER(SEARCH("PG",UPPER(SUBSTITUTE($C59,"/","-")))),84,ISNUMBER(SEARCH("SG",UPPER(SUBSTITUTE($C59,"/","-")))),76,ISNUMBER(SEARCH("SF",UPPER(SUBSTITUTE($C59,"/","-")))),68,ISNUMBER(SEARCH("PF",UPPER(SUBSTITUTE($C59,"/","-")))),55,ISNUMBER(SEARCH("C",UPPER(SUBSTITUTE($C59,"/","-")))),42,TRUE,65)+((195-IFERROR($D59,195))*0.18)+((95-IFERROR($E59,95))*0.10))),0))</x:f>
      </x:c>
      <x:c r="AB59" s="20" t="str">
        <x:f>IF($B59="","",ROUND(MAX(30,MIN(99,IFS(ISNUMBER(SEARCH("PG",UPPER(SUBSTITUTE($C59,"/","-")))),84,ISNUMBER(SEARCH("SG",UPPER(SUBSTITUTE($C59,"/","-")))),76,ISNUMBER(SEARCH("SF",UPPER(SUBSTITUTE($C59,"/","-")))),68,ISNUMBER(SEARCH("PF",UPPER(SUBSTITUTE($C59,"/","-")))),55,ISNUMBER(SEARCH("C",UPPER(SUBSTITUTE($C59,"/","-")))),42,TRUE,65)+2+((195-IFERROR($D59,195))*0.14)+((95-IFERROR($E59,95))*0.09))),0))</x:f>
      </x:c>
      <x:c r="AC59" s="20" t="str">
        <x:f>IF($B59="","",ROUND(MAX(30,MIN(99,IFS(ISNUMBER(SEARCH("C",UPPER(SUBSTITUTE($C59,"/","-")))),92,ISNUMBER(SEARCH("PF",UPPER(SUBSTITUTE($C59,"/","-")))),82,ISNUMBER(SEARCH("SF",UPPER(SUBSTITUTE($C59,"/","-")))),64,ISNUMBER(SEARCH("SG",UPPER(SUBSTITUTE($C59,"/","-")))),48,ISNUMBER(SEARCH("PG",UPPER(SUBSTITUTE($C59,"/","-")))),36,TRUE,60)+((IFERROR($E59,95)-95)*0.45)+((IFERROR($D59,195)-195)*0.10)+((IFERROR($F59,200)-200)*0.08))),0))</x:f>
      </x:c>
      <x:c r="AD59" s="20" t="str">
        <x:f>IF($B59="","",ROUND(MAX(30,MIN(99,65+((IFERROR($F59,200)-200)*0.22)+((IFERROR($D59,195)-195)*0.08)-((IFERROR($E59,95)-95)*0.07))),0))</x:f>
      </x:c>
      <x:c r="AE59" s="15" t="n">
        <x:f>IFERROR(='입력데이터'!S59,0)*0.4+IFERROR(='입력데이터'!AP59,0)*0.4+IFERROR(='입력데이터'!AO59,0)*0.5</x:f>
        <x:v>0</x:v>
      </x:c>
      <x:c r="AF59" s="15" t="n">
        <x:f>IFERROR(='입력데이터'!S59,0)*0.5+IFERROR(='입력데이터'!P59,0)*0.8+IFERROR(='입력데이터'!AG59,0)</x:f>
        <x:v>0</x:v>
      </x:c>
      <x:c r="AG59" s="15" t="n">
        <x:f>IFERROR(='입력데이터'!AJ59,0)*8+IFERROR(IFERROR(='입력데이터'!AJ59,0)/IFERROR(='입력데이터'!AK59,0),0)*30</x:f>
        <x:v>0</x:v>
      </x:c>
      <x:c r="AH59" s="15" t="n">
        <x:f>IFERROR(='입력데이터'!AJ59,0)*6+IFERROR(='입력데이터'!AH59,0)*4</x:f>
        <x:v>0</x:v>
      </x:c>
      <x:c r="AI59" s="15" t="n">
        <x:f>IFERROR(='입력데이터'!AP59,0)*0.4+IFERROR(='입력데이터'!AE59,0)*1.5+IFERROR(='입력데이터'!Q59,0)*1.5</x:f>
        <x:v>0</x:v>
      </x:c>
      <x:c r="AJ59" s="15" t="n">
        <x:f>MAX(0,IFERROR(='입력데이터'!P59,0)-IFERROR(='입력데이터'!Q59,0)*2-IFERROR(='입력데이터'!T59,0)*3-IFERROR(='입력데이터'!Z59,0))*1.5+IFERROR(='입력데이터'!Y59,0)*0.3</x:f>
        <x:v>0</x:v>
      </x:c>
      <x:c r="AK59" s="15" t="n">
        <x:f>IFERROR(='입력데이터'!V59,0)*0.6+IFERROR(='입력데이터'!U59,0)*2+IFERROR(='입력데이터'!T59,0)*3</x:f>
        <x:v>0</x:v>
      </x:c>
      <x:c r="AL59" s="15" t="n">
        <x:f>IFERROR(='입력데이터'!AB59,0)*0.7+IFERROR(='입력데이터'!AA59,0)*1.5</x:f>
        <x:v>0</x:v>
      </x:c>
      <x:c r="AM59" s="15" t="n">
        <x:f>IFERROR(='입력데이터'!AF59,0)*5+IFERROR(IFERROR(='입력데이터'!AF59,0)/IFERROR(='입력데이터'!AL59,0),0)*3+IFERROR(='입력데이터'!AT59,0)</x:f>
        <x:v>0</x:v>
      </x:c>
      <x:c r="AN59" s="15" t="n">
        <x:f>IFERROR(='입력데이터'!AF59,0)*3+IFERROR(='입력데이터'!AG59,0)*3+IFERROR(IFERROR(='입력데이터'!AF59,0)/IFERROR(='입력데이터'!AL59,0),0)*4</x:f>
        <x:v>0</x:v>
      </x:c>
      <x:c r="AO59" s="15" t="n">
        <x:f>IFERROR(='입력데이터'!AG59,0)*12+IFERROR(='입력데이터'!AU59,0)*6</x:f>
        <x:v>0</x:v>
      </x:c>
      <x:c r="AP59" s="15" t="n">
        <x:f>IFERROR(='입력데이터'!AH59,0)*14+IFERROR(='입력데이터'!AD59,0)</x:f>
        <x:v>0</x:v>
      </x:c>
      <x:c r="AQ59" s="15" t="n">
        <x:f>IFERROR(='입력데이터'!AC59,0)*10</x:f>
        <x:v>0</x:v>
      </x:c>
      <x:c r="AR59" s="15" t="n">
        <x:f>IFERROR(='입력데이터'!AD59,0)*7+IFERROR(='입력데이터'!AH59,0)*2</x:f>
        <x:v>0</x:v>
      </x:c>
      <x:c r="AS59" s="15" t="n">
        <x:f>IFERROR(='입력데이터'!AH59,0)*8+IFERROR(='입력데이터'!AD59,0)*2+IFERROR(='입력데이터'!AI59,0)*4</x:f>
        <x:v>0</x:v>
      </x:c>
      <x:c r="AT59" s="16" t="n">
        <x:f>IFERROR(='입력데이터'!AG59,0)*8+IFERROR(='입력데이터'!AI59,0)*5+IFERROR(='입력데이터'!AU59,0)*4</x:f>
        <x:v>0</x:v>
      </x:c>
    </x:row>
    <x:row r="60">
      <x:c r="A60" s="14" t="str">
        <x:f>IF('입력데이터'!$B60="","",'입력데이터'!A60)</x:f>
      </x:c>
      <x:c r="B60" s="15" t="str">
        <x:f>IF('입력데이터'!$B60="","",'입력데이터'!B60)</x:f>
      </x:c>
      <x:c r="C60" s="15" t="str">
        <x:f>IF('입력데이터'!$B60="","",'입력데이터'!K60)</x:f>
      </x:c>
      <x:c r="D60" s="15" t="str">
        <x:f>IF('입력데이터'!$B60="","",'입력데이터'!H60)</x:f>
      </x:c>
      <x:c r="E60" s="15" t="str">
        <x:f>IF('입력데이터'!$B60="","",'입력데이터'!I60)</x:f>
      </x:c>
      <x:c r="F60" s="15" t="str">
        <x:f>IF('입력데이터'!$B60="","",'입력데이터'!J60)</x:f>
      </x:c>
      <x:c r="G60" s="15" t="str">
        <x:f>IF('입력데이터'!$B60="","",'입력데이터'!L60)</x:f>
      </x:c>
      <x:c r="H60" s="15" t="str">
        <x:f>IF('입력데이터'!$B60="","",'입력데이터'!O60)</x:f>
      </x:c>
      <x:c r="I60" s="20" t="str">
        <x:f>IF($B60="", "", ROUND(MAX(30, MIN(99, IFERROR((AE60-MIN($AE$2:$AE$101))/(MAX($AE$2:$AE$101)-MIN($AE$2:$AE$101))*99,30))),0))</x:f>
      </x:c>
      <x:c r="J60" s="20" t="str">
        <x:f>IF($B60="", "", ROUND(MAX(30, MIN(99, IFERROR((AF60-MIN($AF$2:$AF$101))/(MAX($AF$2:$AF$101)-MIN($AF$2:$AF$101))*99,30))),0))</x:f>
      </x:c>
      <x:c r="K60" s="20" t="str">
        <x:f>IF($B60="", "", ROUND(MAX(30, MIN(99, IFERROR((AG60-MIN($AG$2:$AG$101))/(MAX($AG$2:$AG$101)-MIN($AG$2:$AG$101))*99,30))),0))</x:f>
      </x:c>
      <x:c r="L60" s="20" t="str">
        <x:f>IF($B60="", "", ROUND(MAX(30, MIN(99, IFERROR((AH60-MIN($AH$2:$AH$101))/(MAX($AH$2:$AH$101)-MIN($AH$2:$AH$101))*99,30))),0))</x:f>
      </x:c>
      <x:c r="M60" s="20" t="str">
        <x:f>IF($B60="", "", ROUND(MAX(30, MIN(99, IFERROR((AI60-MIN($AI$2:$AI$101))/(MAX($AI$2:$AI$101)-MIN($AI$2:$AI$101))*99,30))),0))</x:f>
      </x:c>
      <x:c r="N60" s="20" t="str">
        <x:f>IF($B60="", "", ROUND(MAX(30, MIN(99, IFERROR((AJ60-MIN($AJ$2:$AJ$101))/(MAX($AJ$2:$AJ$101)-MIN($AJ$2:$AJ$101))*99,30))),0))</x:f>
      </x:c>
      <x:c r="O60" s="20" t="str">
        <x:f>IF($B60="", "", ROUND(MAX(30, MIN(99, IFERROR((AK60-MIN($AK$2:$AK$101))/(MAX($AK$2:$AK$101)-MIN($AK$2:$AK$101))*99,30))),0))</x:f>
      </x:c>
      <x:c r="P60" s="20" t="str">
        <x:f>IF($B60="", "", ROUND(MAX(30, MIN(99, IFERROR((AL60-MIN($AL$2:$AL$101))/(MAX($AL$2:$AL$101)-MIN($AL$2:$AL$101))*99,30))),0))</x:f>
      </x:c>
      <x:c r="Q60" s="20" t="str">
        <x:f>IF($B60="", "", ROUND(MAX(30, MIN(99, IFERROR((AM60-MIN($AM$2:$AM$101))/(MAX($AM$2:$AM$101)-MIN($AM$2:$AM$101))*99,30))),0))</x:f>
      </x:c>
      <x:c r="R60" s="20" t="str">
        <x:f>IF($B60="", "", ROUND(MAX(30, MIN(99, IFERROR((AN60-MIN($AN$2:$AN$101))/(MAX($AN$2:$AN$101)-MIN($AN$2:$AN$101))*99,30))),0))</x:f>
      </x:c>
      <x:c r="S60" s="20" t="str">
        <x:f>IF($B60="", "", ROUND(MAX(30, MIN(99, IFERROR((AO60-MIN($AO$2:$AO$101))/(MAX($AO$2:$AO$101)-MIN($AO$2:$AO$101))*99,30))),0))</x:f>
      </x:c>
      <x:c r="T60" s="20" t="str">
        <x:f>IF($B60="", "", ROUND(MAX(30, MIN(99, IFERROR((AP60-MIN($AP$2:$AP$101))/(MAX($AP$2:$AP$101)-MIN($AP$2:$AP$101))*99,30))),0))</x:f>
      </x:c>
      <x:c r="U60" s="20" t="str">
        <x:f>IF($B60="", "", ROUND(MAX(30, MIN(99, IFERROR((AQ60-MIN($AQ$2:$AQ$101))/(MAX($AQ$2:$AQ$101)-MIN($AQ$2:$AQ$101))*99,30))),0))</x:f>
      </x:c>
      <x:c r="V60" s="20" t="str">
        <x:f>IF($B60="", "", ROUND(MAX(30, MIN(99, IFERROR((AR60-MIN($AR$2:$AR$101))/(MAX($AR$2:$AR$101)-MIN($AR$2:$AR$101))*99,30))),0))</x:f>
      </x:c>
      <x:c r="W60" s="20" t="str">
        <x:f>IF($B60="", "", ROUND(MAX(30, MIN(99, IFERROR((AS60-MIN($AS$2:$AS$101))/(MAX($AS$2:$AS$101)-MIN($AS$2:$AS$101))*99,30))),0))</x:f>
      </x:c>
      <x:c r="X60" s="20" t="str">
        <x:f>IF($B60="", "", ROUND(MAX(30, MIN(99, IFERROR((AT60-MIN($AT$2:$AT$101))/(MAX($AT$2:$AT$101)-MIN($AT$2:$AT$101))*99,30))),0))</x:f>
      </x:c>
      <x:c r="Y60" s="20" t="str">
        <x:f>IF($B60="","",ROUND(AVERAGE(I60:X60),0))</x:f>
      </x:c>
      <x:c r="Z60" s="20" t="str">
        <x:f>IF($B60="","",ROUND(MAX(30,MIN(99,IFS(ISNUMBER(SEARCH("PG",UPPER(SUBSTITUTE($C60,"/","-")))),84,ISNUMBER(SEARCH("SG",UPPER(SUBSTITUTE($C60,"/","-")))),76,ISNUMBER(SEARCH("SF",UPPER(SUBSTITUTE($C60,"/","-")))),68,ISNUMBER(SEARCH("PF",UPPER(SUBSTITUTE($C60,"/","-")))),55,ISNUMBER(SEARCH("C",UPPER(SUBSTITUTE($C60,"/","-")))),42,TRUE,65)+((195-IFERROR($D60,195))*0.15)+((95-IFERROR($E60,95))*0.08))),0))</x:f>
      </x:c>
      <x:c r="AA60" s="20" t="str">
        <x:f>IF($B60="","",ROUND(MAX(30,MIN(99,IFS(ISNUMBER(SEARCH("PG",UPPER(SUBSTITUTE($C60,"/","-")))),84,ISNUMBER(SEARCH("SG",UPPER(SUBSTITUTE($C60,"/","-")))),76,ISNUMBER(SEARCH("SF",UPPER(SUBSTITUTE($C60,"/","-")))),68,ISNUMBER(SEARCH("PF",UPPER(SUBSTITUTE($C60,"/","-")))),55,ISNUMBER(SEARCH("C",UPPER(SUBSTITUTE($C60,"/","-")))),42,TRUE,65)+((195-IFERROR($D60,195))*0.18)+((95-IFERROR($E60,95))*0.10))),0))</x:f>
      </x:c>
      <x:c r="AB60" s="20" t="str">
        <x:f>IF($B60="","",ROUND(MAX(30,MIN(99,IFS(ISNUMBER(SEARCH("PG",UPPER(SUBSTITUTE($C60,"/","-")))),84,ISNUMBER(SEARCH("SG",UPPER(SUBSTITUTE($C60,"/","-")))),76,ISNUMBER(SEARCH("SF",UPPER(SUBSTITUTE($C60,"/","-")))),68,ISNUMBER(SEARCH("PF",UPPER(SUBSTITUTE($C60,"/","-")))),55,ISNUMBER(SEARCH("C",UPPER(SUBSTITUTE($C60,"/","-")))),42,TRUE,65)+2+((195-IFERROR($D60,195))*0.14)+((95-IFERROR($E60,95))*0.09))),0))</x:f>
      </x:c>
      <x:c r="AC60" s="20" t="str">
        <x:f>IF($B60="","",ROUND(MAX(30,MIN(99,IFS(ISNUMBER(SEARCH("C",UPPER(SUBSTITUTE($C60,"/","-")))),92,ISNUMBER(SEARCH("PF",UPPER(SUBSTITUTE($C60,"/","-")))),82,ISNUMBER(SEARCH("SF",UPPER(SUBSTITUTE($C60,"/","-")))),64,ISNUMBER(SEARCH("SG",UPPER(SUBSTITUTE($C60,"/","-")))),48,ISNUMBER(SEARCH("PG",UPPER(SUBSTITUTE($C60,"/","-")))),36,TRUE,60)+((IFERROR($E60,95)-95)*0.45)+((IFERROR($D60,195)-195)*0.10)+((IFERROR($F60,200)-200)*0.08))),0))</x:f>
      </x:c>
      <x:c r="AD60" s="20" t="str">
        <x:f>IF($B60="","",ROUND(MAX(30,MIN(99,65+((IFERROR($F60,200)-200)*0.22)+((IFERROR($D60,195)-195)*0.08)-((IFERROR($E60,95)-95)*0.07))),0))</x:f>
      </x:c>
      <x:c r="AE60" s="15" t="n">
        <x:f>IFERROR(='입력데이터'!S60,0)*0.4+IFERROR(='입력데이터'!AP60,0)*0.4+IFERROR(='입력데이터'!AO60,0)*0.5</x:f>
        <x:v>0</x:v>
      </x:c>
      <x:c r="AF60" s="15" t="n">
        <x:f>IFERROR(='입력데이터'!S60,0)*0.5+IFERROR(='입력데이터'!P60,0)*0.8+IFERROR(='입력데이터'!AG60,0)</x:f>
        <x:v>0</x:v>
      </x:c>
      <x:c r="AG60" s="15" t="n">
        <x:f>IFERROR(='입력데이터'!AJ60,0)*8+IFERROR(IFERROR(='입력데이터'!AJ60,0)/IFERROR(='입력데이터'!AK60,0),0)*30</x:f>
        <x:v>0</x:v>
      </x:c>
      <x:c r="AH60" s="15" t="n">
        <x:f>IFERROR(='입력데이터'!AJ60,0)*6+IFERROR(='입력데이터'!AH60,0)*4</x:f>
        <x:v>0</x:v>
      </x:c>
      <x:c r="AI60" s="15" t="n">
        <x:f>IFERROR(='입력데이터'!AP60,0)*0.4+IFERROR(='입력데이터'!AE60,0)*1.5+IFERROR(='입력데이터'!Q60,0)*1.5</x:f>
        <x:v>0</x:v>
      </x:c>
      <x:c r="AJ60" s="15" t="n">
        <x:f>MAX(0,IFERROR(='입력데이터'!P60,0)-IFERROR(='입력데이터'!Q60,0)*2-IFERROR(='입력데이터'!T60,0)*3-IFERROR(='입력데이터'!Z60,0))*1.5+IFERROR(='입력데이터'!Y60,0)*0.3</x:f>
        <x:v>0</x:v>
      </x:c>
      <x:c r="AK60" s="15" t="n">
        <x:f>IFERROR(='입력데이터'!V60,0)*0.6+IFERROR(='입력데이터'!U60,0)*2+IFERROR(='입력데이터'!T60,0)*3</x:f>
        <x:v>0</x:v>
      </x:c>
      <x:c r="AL60" s="15" t="n">
        <x:f>IFERROR(='입력데이터'!AB60,0)*0.7+IFERROR(='입력데이터'!AA60,0)*1.5</x:f>
        <x:v>0</x:v>
      </x:c>
      <x:c r="AM60" s="15" t="n">
        <x:f>IFERROR(='입력데이터'!AF60,0)*5+IFERROR(IFERROR(='입력데이터'!AF60,0)/IFERROR(='입력데이터'!AL60,0),0)*3+IFERROR(='입력데이터'!AT60,0)</x:f>
        <x:v>0</x:v>
      </x:c>
      <x:c r="AN60" s="15" t="n">
        <x:f>IFERROR(='입력데이터'!AF60,0)*3+IFERROR(='입력데이터'!AG60,0)*3+IFERROR(IFERROR(='입력데이터'!AF60,0)/IFERROR(='입력데이터'!AL60,0),0)*4</x:f>
        <x:v>0</x:v>
      </x:c>
      <x:c r="AO60" s="15" t="n">
        <x:f>IFERROR(='입력데이터'!AG60,0)*12+IFERROR(='입력데이터'!AU60,0)*6</x:f>
        <x:v>0</x:v>
      </x:c>
      <x:c r="AP60" s="15" t="n">
        <x:f>IFERROR(='입력데이터'!AH60,0)*14+IFERROR(='입력데이터'!AD60,0)</x:f>
        <x:v>0</x:v>
      </x:c>
      <x:c r="AQ60" s="15" t="n">
        <x:f>IFERROR(='입력데이터'!AC60,0)*10</x:f>
        <x:v>0</x:v>
      </x:c>
      <x:c r="AR60" s="15" t="n">
        <x:f>IFERROR(='입력데이터'!AD60,0)*7+IFERROR(='입력데이터'!AH60,0)*2</x:f>
        <x:v>0</x:v>
      </x:c>
      <x:c r="AS60" s="15" t="n">
        <x:f>IFERROR(='입력데이터'!AH60,0)*8+IFERROR(='입력데이터'!AD60,0)*2+IFERROR(='입력데이터'!AI60,0)*4</x:f>
        <x:v>0</x:v>
      </x:c>
      <x:c r="AT60" s="16" t="n">
        <x:f>IFERROR(='입력데이터'!AG60,0)*8+IFERROR(='입력데이터'!AI60,0)*5+IFERROR(='입력데이터'!AU60,0)*4</x:f>
        <x:v>0</x:v>
      </x:c>
    </x:row>
    <x:row r="61">
      <x:c r="A61" s="14" t="str">
        <x:f>IF('입력데이터'!$B61="","",'입력데이터'!A61)</x:f>
      </x:c>
      <x:c r="B61" s="15" t="str">
        <x:f>IF('입력데이터'!$B61="","",'입력데이터'!B61)</x:f>
      </x:c>
      <x:c r="C61" s="15" t="str">
        <x:f>IF('입력데이터'!$B61="","",'입력데이터'!K61)</x:f>
      </x:c>
      <x:c r="D61" s="15" t="str">
        <x:f>IF('입력데이터'!$B61="","",'입력데이터'!H61)</x:f>
      </x:c>
      <x:c r="E61" s="15" t="str">
        <x:f>IF('입력데이터'!$B61="","",'입력데이터'!I61)</x:f>
      </x:c>
      <x:c r="F61" s="15" t="str">
        <x:f>IF('입력데이터'!$B61="","",'입력데이터'!J61)</x:f>
      </x:c>
      <x:c r="G61" s="15" t="str">
        <x:f>IF('입력데이터'!$B61="","",'입력데이터'!L61)</x:f>
      </x:c>
      <x:c r="H61" s="15" t="str">
        <x:f>IF('입력데이터'!$B61="","",'입력데이터'!O61)</x:f>
      </x:c>
      <x:c r="I61" s="20" t="str">
        <x:f>IF($B61="", "", ROUND(MAX(30, MIN(99, IFERROR((AE61-MIN($AE$2:$AE$101))/(MAX($AE$2:$AE$101)-MIN($AE$2:$AE$101))*99,30))),0))</x:f>
      </x:c>
      <x:c r="J61" s="20" t="str">
        <x:f>IF($B61="", "", ROUND(MAX(30, MIN(99, IFERROR((AF61-MIN($AF$2:$AF$101))/(MAX($AF$2:$AF$101)-MIN($AF$2:$AF$101))*99,30))),0))</x:f>
      </x:c>
      <x:c r="K61" s="20" t="str">
        <x:f>IF($B61="", "", ROUND(MAX(30, MIN(99, IFERROR((AG61-MIN($AG$2:$AG$101))/(MAX($AG$2:$AG$101)-MIN($AG$2:$AG$101))*99,30))),0))</x:f>
      </x:c>
      <x:c r="L61" s="20" t="str">
        <x:f>IF($B61="", "", ROUND(MAX(30, MIN(99, IFERROR((AH61-MIN($AH$2:$AH$101))/(MAX($AH$2:$AH$101)-MIN($AH$2:$AH$101))*99,30))),0))</x:f>
      </x:c>
      <x:c r="M61" s="20" t="str">
        <x:f>IF($B61="", "", ROUND(MAX(30, MIN(99, IFERROR((AI61-MIN($AI$2:$AI$101))/(MAX($AI$2:$AI$101)-MIN($AI$2:$AI$101))*99,30))),0))</x:f>
      </x:c>
      <x:c r="N61" s="20" t="str">
        <x:f>IF($B61="", "", ROUND(MAX(30, MIN(99, IFERROR((AJ61-MIN($AJ$2:$AJ$101))/(MAX($AJ$2:$AJ$101)-MIN($AJ$2:$AJ$101))*99,30))),0))</x:f>
      </x:c>
      <x:c r="O61" s="20" t="str">
        <x:f>IF($B61="", "", ROUND(MAX(30, MIN(99, IFERROR((AK61-MIN($AK$2:$AK$101))/(MAX($AK$2:$AK$101)-MIN($AK$2:$AK$101))*99,30))),0))</x:f>
      </x:c>
      <x:c r="P61" s="20" t="str">
        <x:f>IF($B61="", "", ROUND(MAX(30, MIN(99, IFERROR((AL61-MIN($AL$2:$AL$101))/(MAX($AL$2:$AL$101)-MIN($AL$2:$AL$101))*99,30))),0))</x:f>
      </x:c>
      <x:c r="Q61" s="20" t="str">
        <x:f>IF($B61="", "", ROUND(MAX(30, MIN(99, IFERROR((AM61-MIN($AM$2:$AM$101))/(MAX($AM$2:$AM$101)-MIN($AM$2:$AM$101))*99,30))),0))</x:f>
      </x:c>
      <x:c r="R61" s="20" t="str">
        <x:f>IF($B61="", "", ROUND(MAX(30, MIN(99, IFERROR((AN61-MIN($AN$2:$AN$101))/(MAX($AN$2:$AN$101)-MIN($AN$2:$AN$101))*99,30))),0))</x:f>
      </x:c>
      <x:c r="S61" s="20" t="str">
        <x:f>IF($B61="", "", ROUND(MAX(30, MIN(99, IFERROR((AO61-MIN($AO$2:$AO$101))/(MAX($AO$2:$AO$101)-MIN($AO$2:$AO$101))*99,30))),0))</x:f>
      </x:c>
      <x:c r="T61" s="20" t="str">
        <x:f>IF($B61="", "", ROUND(MAX(30, MIN(99, IFERROR((AP61-MIN($AP$2:$AP$101))/(MAX($AP$2:$AP$101)-MIN($AP$2:$AP$101))*99,30))),0))</x:f>
      </x:c>
      <x:c r="U61" s="20" t="str">
        <x:f>IF($B61="", "", ROUND(MAX(30, MIN(99, IFERROR((AQ61-MIN($AQ$2:$AQ$101))/(MAX($AQ$2:$AQ$101)-MIN($AQ$2:$AQ$101))*99,30))),0))</x:f>
      </x:c>
      <x:c r="V61" s="20" t="str">
        <x:f>IF($B61="", "", ROUND(MAX(30, MIN(99, IFERROR((AR61-MIN($AR$2:$AR$101))/(MAX($AR$2:$AR$101)-MIN($AR$2:$AR$101))*99,30))),0))</x:f>
      </x:c>
      <x:c r="W61" s="20" t="str">
        <x:f>IF($B61="", "", ROUND(MAX(30, MIN(99, IFERROR((AS61-MIN($AS$2:$AS$101))/(MAX($AS$2:$AS$101)-MIN($AS$2:$AS$101))*99,30))),0))</x:f>
      </x:c>
      <x:c r="X61" s="20" t="str">
        <x:f>IF($B61="", "", ROUND(MAX(30, MIN(99, IFERROR((AT61-MIN($AT$2:$AT$101))/(MAX($AT$2:$AT$101)-MIN($AT$2:$AT$101))*99,30))),0))</x:f>
      </x:c>
      <x:c r="Y61" s="20" t="str">
        <x:f>IF($B61="","",ROUND(AVERAGE(I61:X61),0))</x:f>
      </x:c>
      <x:c r="Z61" s="20" t="str">
        <x:f>IF($B61="","",ROUND(MAX(30,MIN(99,IFS(ISNUMBER(SEARCH("PG",UPPER(SUBSTITUTE($C61,"/","-")))),84,ISNUMBER(SEARCH("SG",UPPER(SUBSTITUTE($C61,"/","-")))),76,ISNUMBER(SEARCH("SF",UPPER(SUBSTITUTE($C61,"/","-")))),68,ISNUMBER(SEARCH("PF",UPPER(SUBSTITUTE($C61,"/","-")))),55,ISNUMBER(SEARCH("C",UPPER(SUBSTITUTE($C61,"/","-")))),42,TRUE,65)+((195-IFERROR($D61,195))*0.15)+((95-IFERROR($E61,95))*0.08))),0))</x:f>
      </x:c>
      <x:c r="AA61" s="20" t="str">
        <x:f>IF($B61="","",ROUND(MAX(30,MIN(99,IFS(ISNUMBER(SEARCH("PG",UPPER(SUBSTITUTE($C61,"/","-")))),84,ISNUMBER(SEARCH("SG",UPPER(SUBSTITUTE($C61,"/","-")))),76,ISNUMBER(SEARCH("SF",UPPER(SUBSTITUTE($C61,"/","-")))),68,ISNUMBER(SEARCH("PF",UPPER(SUBSTITUTE($C61,"/","-")))),55,ISNUMBER(SEARCH("C",UPPER(SUBSTITUTE($C61,"/","-")))),42,TRUE,65)+((195-IFERROR($D61,195))*0.18)+((95-IFERROR($E61,95))*0.10))),0))</x:f>
      </x:c>
      <x:c r="AB61" s="20" t="str">
        <x:f>IF($B61="","",ROUND(MAX(30,MIN(99,IFS(ISNUMBER(SEARCH("PG",UPPER(SUBSTITUTE($C61,"/","-")))),84,ISNUMBER(SEARCH("SG",UPPER(SUBSTITUTE($C61,"/","-")))),76,ISNUMBER(SEARCH("SF",UPPER(SUBSTITUTE($C61,"/","-")))),68,ISNUMBER(SEARCH("PF",UPPER(SUBSTITUTE($C61,"/","-")))),55,ISNUMBER(SEARCH("C",UPPER(SUBSTITUTE($C61,"/","-")))),42,TRUE,65)+2+((195-IFERROR($D61,195))*0.14)+((95-IFERROR($E61,95))*0.09))),0))</x:f>
      </x:c>
      <x:c r="AC61" s="20" t="str">
        <x:f>IF($B61="","",ROUND(MAX(30,MIN(99,IFS(ISNUMBER(SEARCH("C",UPPER(SUBSTITUTE($C61,"/","-")))),92,ISNUMBER(SEARCH("PF",UPPER(SUBSTITUTE($C61,"/","-")))),82,ISNUMBER(SEARCH("SF",UPPER(SUBSTITUTE($C61,"/","-")))),64,ISNUMBER(SEARCH("SG",UPPER(SUBSTITUTE($C61,"/","-")))),48,ISNUMBER(SEARCH("PG",UPPER(SUBSTITUTE($C61,"/","-")))),36,TRUE,60)+((IFERROR($E61,95)-95)*0.45)+((IFERROR($D61,195)-195)*0.10)+((IFERROR($F61,200)-200)*0.08))),0))</x:f>
      </x:c>
      <x:c r="AD61" s="20" t="str">
        <x:f>IF($B61="","",ROUND(MAX(30,MIN(99,65+((IFERROR($F61,200)-200)*0.22)+((IFERROR($D61,195)-195)*0.08)-((IFERROR($E61,95)-95)*0.07))),0))</x:f>
      </x:c>
      <x:c r="AE61" s="15" t="n">
        <x:f>IFERROR(='입력데이터'!S61,0)*0.4+IFERROR(='입력데이터'!AP61,0)*0.4+IFERROR(='입력데이터'!AO61,0)*0.5</x:f>
        <x:v>0</x:v>
      </x:c>
      <x:c r="AF61" s="15" t="n">
        <x:f>IFERROR(='입력데이터'!S61,0)*0.5+IFERROR(='입력데이터'!P61,0)*0.8+IFERROR(='입력데이터'!AG61,0)</x:f>
        <x:v>0</x:v>
      </x:c>
      <x:c r="AG61" s="15" t="n">
        <x:f>IFERROR(='입력데이터'!AJ61,0)*8+IFERROR(IFERROR(='입력데이터'!AJ61,0)/IFERROR(='입력데이터'!AK61,0),0)*30</x:f>
        <x:v>0</x:v>
      </x:c>
      <x:c r="AH61" s="15" t="n">
        <x:f>IFERROR(='입력데이터'!AJ61,0)*6+IFERROR(='입력데이터'!AH61,0)*4</x:f>
        <x:v>0</x:v>
      </x:c>
      <x:c r="AI61" s="15" t="n">
        <x:f>IFERROR(='입력데이터'!AP61,0)*0.4+IFERROR(='입력데이터'!AE61,0)*1.5+IFERROR(='입력데이터'!Q61,0)*1.5</x:f>
        <x:v>0</x:v>
      </x:c>
      <x:c r="AJ61" s="15" t="n">
        <x:f>MAX(0,IFERROR(='입력데이터'!P61,0)-IFERROR(='입력데이터'!Q61,0)*2-IFERROR(='입력데이터'!T61,0)*3-IFERROR(='입력데이터'!Z61,0))*1.5+IFERROR(='입력데이터'!Y61,0)*0.3</x:f>
        <x:v>0</x:v>
      </x:c>
      <x:c r="AK61" s="15" t="n">
        <x:f>IFERROR(='입력데이터'!V61,0)*0.6+IFERROR(='입력데이터'!U61,0)*2+IFERROR(='입력데이터'!T61,0)*3</x:f>
        <x:v>0</x:v>
      </x:c>
      <x:c r="AL61" s="15" t="n">
        <x:f>IFERROR(='입력데이터'!AB61,0)*0.7+IFERROR(='입력데이터'!AA61,0)*1.5</x:f>
        <x:v>0</x:v>
      </x:c>
      <x:c r="AM61" s="15" t="n">
        <x:f>IFERROR(='입력데이터'!AF61,0)*5+IFERROR(IFERROR(='입력데이터'!AF61,0)/IFERROR(='입력데이터'!AL61,0),0)*3+IFERROR(='입력데이터'!AT61,0)</x:f>
        <x:v>0</x:v>
      </x:c>
      <x:c r="AN61" s="15" t="n">
        <x:f>IFERROR(='입력데이터'!AF61,0)*3+IFERROR(='입력데이터'!AG61,0)*3+IFERROR(IFERROR(='입력데이터'!AF61,0)/IFERROR(='입력데이터'!AL61,0),0)*4</x:f>
        <x:v>0</x:v>
      </x:c>
      <x:c r="AO61" s="15" t="n">
        <x:f>IFERROR(='입력데이터'!AG61,0)*12+IFERROR(='입력데이터'!AU61,0)*6</x:f>
        <x:v>0</x:v>
      </x:c>
      <x:c r="AP61" s="15" t="n">
        <x:f>IFERROR(='입력데이터'!AH61,0)*14+IFERROR(='입력데이터'!AD61,0)</x:f>
        <x:v>0</x:v>
      </x:c>
      <x:c r="AQ61" s="15" t="n">
        <x:f>IFERROR(='입력데이터'!AC61,0)*10</x:f>
        <x:v>0</x:v>
      </x:c>
      <x:c r="AR61" s="15" t="n">
        <x:f>IFERROR(='입력데이터'!AD61,0)*7+IFERROR(='입력데이터'!AH61,0)*2</x:f>
        <x:v>0</x:v>
      </x:c>
      <x:c r="AS61" s="15" t="n">
        <x:f>IFERROR(='입력데이터'!AH61,0)*8+IFERROR(='입력데이터'!AD61,0)*2+IFERROR(='입력데이터'!AI61,0)*4</x:f>
        <x:v>0</x:v>
      </x:c>
      <x:c r="AT61" s="16" t="n">
        <x:f>IFERROR(='입력데이터'!AG61,0)*8+IFERROR(='입력데이터'!AI61,0)*5+IFERROR(='입력데이터'!AU61,0)*4</x:f>
        <x:v>0</x:v>
      </x:c>
    </x:row>
    <x:row r="62">
      <x:c r="A62" s="14" t="str">
        <x:f>IF('입력데이터'!$B62="","",'입력데이터'!A62)</x:f>
      </x:c>
      <x:c r="B62" s="15" t="str">
        <x:f>IF('입력데이터'!$B62="","",'입력데이터'!B62)</x:f>
      </x:c>
      <x:c r="C62" s="15" t="str">
        <x:f>IF('입력데이터'!$B62="","",'입력데이터'!K62)</x:f>
      </x:c>
      <x:c r="D62" s="15" t="str">
        <x:f>IF('입력데이터'!$B62="","",'입력데이터'!H62)</x:f>
      </x:c>
      <x:c r="E62" s="15" t="str">
        <x:f>IF('입력데이터'!$B62="","",'입력데이터'!I62)</x:f>
      </x:c>
      <x:c r="F62" s="15" t="str">
        <x:f>IF('입력데이터'!$B62="","",'입력데이터'!J62)</x:f>
      </x:c>
      <x:c r="G62" s="15" t="str">
        <x:f>IF('입력데이터'!$B62="","",'입력데이터'!L62)</x:f>
      </x:c>
      <x:c r="H62" s="15" t="str">
        <x:f>IF('입력데이터'!$B62="","",'입력데이터'!O62)</x:f>
      </x:c>
      <x:c r="I62" s="20" t="str">
        <x:f>IF($B62="", "", ROUND(MAX(30, MIN(99, IFERROR((AE62-MIN($AE$2:$AE$101))/(MAX($AE$2:$AE$101)-MIN($AE$2:$AE$101))*99,30))),0))</x:f>
      </x:c>
      <x:c r="J62" s="20" t="str">
        <x:f>IF($B62="", "", ROUND(MAX(30, MIN(99, IFERROR((AF62-MIN($AF$2:$AF$101))/(MAX($AF$2:$AF$101)-MIN($AF$2:$AF$101))*99,30))),0))</x:f>
      </x:c>
      <x:c r="K62" s="20" t="str">
        <x:f>IF($B62="", "", ROUND(MAX(30, MIN(99, IFERROR((AG62-MIN($AG$2:$AG$101))/(MAX($AG$2:$AG$101)-MIN($AG$2:$AG$101))*99,30))),0))</x:f>
      </x:c>
      <x:c r="L62" s="20" t="str">
        <x:f>IF($B62="", "", ROUND(MAX(30, MIN(99, IFERROR((AH62-MIN($AH$2:$AH$101))/(MAX($AH$2:$AH$101)-MIN($AH$2:$AH$101))*99,30))),0))</x:f>
      </x:c>
      <x:c r="M62" s="20" t="str">
        <x:f>IF($B62="", "", ROUND(MAX(30, MIN(99, IFERROR((AI62-MIN($AI$2:$AI$101))/(MAX($AI$2:$AI$101)-MIN($AI$2:$AI$101))*99,30))),0))</x:f>
      </x:c>
      <x:c r="N62" s="20" t="str">
        <x:f>IF($B62="", "", ROUND(MAX(30, MIN(99, IFERROR((AJ62-MIN($AJ$2:$AJ$101))/(MAX($AJ$2:$AJ$101)-MIN($AJ$2:$AJ$101))*99,30))),0))</x:f>
      </x:c>
      <x:c r="O62" s="20" t="str">
        <x:f>IF($B62="", "", ROUND(MAX(30, MIN(99, IFERROR((AK62-MIN($AK$2:$AK$101))/(MAX($AK$2:$AK$101)-MIN($AK$2:$AK$101))*99,30))),0))</x:f>
      </x:c>
      <x:c r="P62" s="20" t="str">
        <x:f>IF($B62="", "", ROUND(MAX(30, MIN(99, IFERROR((AL62-MIN($AL$2:$AL$101))/(MAX($AL$2:$AL$101)-MIN($AL$2:$AL$101))*99,30))),0))</x:f>
      </x:c>
      <x:c r="Q62" s="20" t="str">
        <x:f>IF($B62="", "", ROUND(MAX(30, MIN(99, IFERROR((AM62-MIN($AM$2:$AM$101))/(MAX($AM$2:$AM$101)-MIN($AM$2:$AM$101))*99,30))),0))</x:f>
      </x:c>
      <x:c r="R62" s="20" t="str">
        <x:f>IF($B62="", "", ROUND(MAX(30, MIN(99, IFERROR((AN62-MIN($AN$2:$AN$101))/(MAX($AN$2:$AN$101)-MIN($AN$2:$AN$101))*99,30))),0))</x:f>
      </x:c>
      <x:c r="S62" s="20" t="str">
        <x:f>IF($B62="", "", ROUND(MAX(30, MIN(99, IFERROR((AO62-MIN($AO$2:$AO$101))/(MAX($AO$2:$AO$101)-MIN($AO$2:$AO$101))*99,30))),0))</x:f>
      </x:c>
      <x:c r="T62" s="20" t="str">
        <x:f>IF($B62="", "", ROUND(MAX(30, MIN(99, IFERROR((AP62-MIN($AP$2:$AP$101))/(MAX($AP$2:$AP$101)-MIN($AP$2:$AP$101))*99,30))),0))</x:f>
      </x:c>
      <x:c r="U62" s="20" t="str">
        <x:f>IF($B62="", "", ROUND(MAX(30, MIN(99, IFERROR((AQ62-MIN($AQ$2:$AQ$101))/(MAX($AQ$2:$AQ$101)-MIN($AQ$2:$AQ$101))*99,30))),0))</x:f>
      </x:c>
      <x:c r="V62" s="20" t="str">
        <x:f>IF($B62="", "", ROUND(MAX(30, MIN(99, IFERROR((AR62-MIN($AR$2:$AR$101))/(MAX($AR$2:$AR$101)-MIN($AR$2:$AR$101))*99,30))),0))</x:f>
      </x:c>
      <x:c r="W62" s="20" t="str">
        <x:f>IF($B62="", "", ROUND(MAX(30, MIN(99, IFERROR((AS62-MIN($AS$2:$AS$101))/(MAX($AS$2:$AS$101)-MIN($AS$2:$AS$101))*99,30))),0))</x:f>
      </x:c>
      <x:c r="X62" s="20" t="str">
        <x:f>IF($B62="", "", ROUND(MAX(30, MIN(99, IFERROR((AT62-MIN($AT$2:$AT$101))/(MAX($AT$2:$AT$101)-MIN($AT$2:$AT$101))*99,30))),0))</x:f>
      </x:c>
      <x:c r="Y62" s="20" t="str">
        <x:f>IF($B62="","",ROUND(AVERAGE(I62:X62),0))</x:f>
      </x:c>
      <x:c r="Z62" s="20" t="str">
        <x:f>IF($B62="","",ROUND(MAX(30,MIN(99,IFS(ISNUMBER(SEARCH("PG",UPPER(SUBSTITUTE($C62,"/","-")))),84,ISNUMBER(SEARCH("SG",UPPER(SUBSTITUTE($C62,"/","-")))),76,ISNUMBER(SEARCH("SF",UPPER(SUBSTITUTE($C62,"/","-")))),68,ISNUMBER(SEARCH("PF",UPPER(SUBSTITUTE($C62,"/","-")))),55,ISNUMBER(SEARCH("C",UPPER(SUBSTITUTE($C62,"/","-")))),42,TRUE,65)+((195-IFERROR($D62,195))*0.15)+((95-IFERROR($E62,95))*0.08))),0))</x:f>
      </x:c>
      <x:c r="AA62" s="20" t="str">
        <x:f>IF($B62="","",ROUND(MAX(30,MIN(99,IFS(ISNUMBER(SEARCH("PG",UPPER(SUBSTITUTE($C62,"/","-")))),84,ISNUMBER(SEARCH("SG",UPPER(SUBSTITUTE($C62,"/","-")))),76,ISNUMBER(SEARCH("SF",UPPER(SUBSTITUTE($C62,"/","-")))),68,ISNUMBER(SEARCH("PF",UPPER(SUBSTITUTE($C62,"/","-")))),55,ISNUMBER(SEARCH("C",UPPER(SUBSTITUTE($C62,"/","-")))),42,TRUE,65)+((195-IFERROR($D62,195))*0.18)+((95-IFERROR($E62,95))*0.10))),0))</x:f>
      </x:c>
      <x:c r="AB62" s="20" t="str">
        <x:f>IF($B62="","",ROUND(MAX(30,MIN(99,IFS(ISNUMBER(SEARCH("PG",UPPER(SUBSTITUTE($C62,"/","-")))),84,ISNUMBER(SEARCH("SG",UPPER(SUBSTITUTE($C62,"/","-")))),76,ISNUMBER(SEARCH("SF",UPPER(SUBSTITUTE($C62,"/","-")))),68,ISNUMBER(SEARCH("PF",UPPER(SUBSTITUTE($C62,"/","-")))),55,ISNUMBER(SEARCH("C",UPPER(SUBSTITUTE($C62,"/","-")))),42,TRUE,65)+2+((195-IFERROR($D62,195))*0.14)+((95-IFERROR($E62,95))*0.09))),0))</x:f>
      </x:c>
      <x:c r="AC62" s="20" t="str">
        <x:f>IF($B62="","",ROUND(MAX(30,MIN(99,IFS(ISNUMBER(SEARCH("C",UPPER(SUBSTITUTE($C62,"/","-")))),92,ISNUMBER(SEARCH("PF",UPPER(SUBSTITUTE($C62,"/","-")))),82,ISNUMBER(SEARCH("SF",UPPER(SUBSTITUTE($C62,"/","-")))),64,ISNUMBER(SEARCH("SG",UPPER(SUBSTITUTE($C62,"/","-")))),48,ISNUMBER(SEARCH("PG",UPPER(SUBSTITUTE($C62,"/","-")))),36,TRUE,60)+((IFERROR($E62,95)-95)*0.45)+((IFERROR($D62,195)-195)*0.10)+((IFERROR($F62,200)-200)*0.08))),0))</x:f>
      </x:c>
      <x:c r="AD62" s="20" t="str">
        <x:f>IF($B62="","",ROUND(MAX(30,MIN(99,65+((IFERROR($F62,200)-200)*0.22)+((IFERROR($D62,195)-195)*0.08)-((IFERROR($E62,95)-95)*0.07))),0))</x:f>
      </x:c>
      <x:c r="AE62" s="15" t="n">
        <x:f>IFERROR(='입력데이터'!S62,0)*0.4+IFERROR(='입력데이터'!AP62,0)*0.4+IFERROR(='입력데이터'!AO62,0)*0.5</x:f>
        <x:v>0</x:v>
      </x:c>
      <x:c r="AF62" s="15" t="n">
        <x:f>IFERROR(='입력데이터'!S62,0)*0.5+IFERROR(='입력데이터'!P62,0)*0.8+IFERROR(='입력데이터'!AG62,0)</x:f>
        <x:v>0</x:v>
      </x:c>
      <x:c r="AG62" s="15" t="n">
        <x:f>IFERROR(='입력데이터'!AJ62,0)*8+IFERROR(IFERROR(='입력데이터'!AJ62,0)/IFERROR(='입력데이터'!AK62,0),0)*30</x:f>
        <x:v>0</x:v>
      </x:c>
      <x:c r="AH62" s="15" t="n">
        <x:f>IFERROR(='입력데이터'!AJ62,0)*6+IFERROR(='입력데이터'!AH62,0)*4</x:f>
        <x:v>0</x:v>
      </x:c>
      <x:c r="AI62" s="15" t="n">
        <x:f>IFERROR(='입력데이터'!AP62,0)*0.4+IFERROR(='입력데이터'!AE62,0)*1.5+IFERROR(='입력데이터'!Q62,0)*1.5</x:f>
        <x:v>0</x:v>
      </x:c>
      <x:c r="AJ62" s="15" t="n">
        <x:f>MAX(0,IFERROR(='입력데이터'!P62,0)-IFERROR(='입력데이터'!Q62,0)*2-IFERROR(='입력데이터'!T62,0)*3-IFERROR(='입력데이터'!Z62,0))*1.5+IFERROR(='입력데이터'!Y62,0)*0.3</x:f>
        <x:v>0</x:v>
      </x:c>
      <x:c r="AK62" s="15" t="n">
        <x:f>IFERROR(='입력데이터'!V62,0)*0.6+IFERROR(='입력데이터'!U62,0)*2+IFERROR(='입력데이터'!T62,0)*3</x:f>
        <x:v>0</x:v>
      </x:c>
      <x:c r="AL62" s="15" t="n">
        <x:f>IFERROR(='입력데이터'!AB62,0)*0.7+IFERROR(='입력데이터'!AA62,0)*1.5</x:f>
        <x:v>0</x:v>
      </x:c>
      <x:c r="AM62" s="15" t="n">
        <x:f>IFERROR(='입력데이터'!AF62,0)*5+IFERROR(IFERROR(='입력데이터'!AF62,0)/IFERROR(='입력데이터'!AL62,0),0)*3+IFERROR(='입력데이터'!AT62,0)</x:f>
        <x:v>0</x:v>
      </x:c>
      <x:c r="AN62" s="15" t="n">
        <x:f>IFERROR(='입력데이터'!AF62,0)*3+IFERROR(='입력데이터'!AG62,0)*3+IFERROR(IFERROR(='입력데이터'!AF62,0)/IFERROR(='입력데이터'!AL62,0),0)*4</x:f>
        <x:v>0</x:v>
      </x:c>
      <x:c r="AO62" s="15" t="n">
        <x:f>IFERROR(='입력데이터'!AG62,0)*12+IFERROR(='입력데이터'!AU62,0)*6</x:f>
        <x:v>0</x:v>
      </x:c>
      <x:c r="AP62" s="15" t="n">
        <x:f>IFERROR(='입력데이터'!AH62,0)*14+IFERROR(='입력데이터'!AD62,0)</x:f>
        <x:v>0</x:v>
      </x:c>
      <x:c r="AQ62" s="15" t="n">
        <x:f>IFERROR(='입력데이터'!AC62,0)*10</x:f>
        <x:v>0</x:v>
      </x:c>
      <x:c r="AR62" s="15" t="n">
        <x:f>IFERROR(='입력데이터'!AD62,0)*7+IFERROR(='입력데이터'!AH62,0)*2</x:f>
        <x:v>0</x:v>
      </x:c>
      <x:c r="AS62" s="15" t="n">
        <x:f>IFERROR(='입력데이터'!AH62,0)*8+IFERROR(='입력데이터'!AD62,0)*2+IFERROR(='입력데이터'!AI62,0)*4</x:f>
        <x:v>0</x:v>
      </x:c>
      <x:c r="AT62" s="16" t="n">
        <x:f>IFERROR(='입력데이터'!AG62,0)*8+IFERROR(='입력데이터'!AI62,0)*5+IFERROR(='입력데이터'!AU62,0)*4</x:f>
        <x:v>0</x:v>
      </x:c>
    </x:row>
    <x:row r="63">
      <x:c r="A63" s="14" t="str">
        <x:f>IF('입력데이터'!$B63="","",'입력데이터'!A63)</x:f>
      </x:c>
      <x:c r="B63" s="15" t="str">
        <x:f>IF('입력데이터'!$B63="","",'입력데이터'!B63)</x:f>
      </x:c>
      <x:c r="C63" s="15" t="str">
        <x:f>IF('입력데이터'!$B63="","",'입력데이터'!K63)</x:f>
      </x:c>
      <x:c r="D63" s="15" t="str">
        <x:f>IF('입력데이터'!$B63="","",'입력데이터'!H63)</x:f>
      </x:c>
      <x:c r="E63" s="15" t="str">
        <x:f>IF('입력데이터'!$B63="","",'입력데이터'!I63)</x:f>
      </x:c>
      <x:c r="F63" s="15" t="str">
        <x:f>IF('입력데이터'!$B63="","",'입력데이터'!J63)</x:f>
      </x:c>
      <x:c r="G63" s="15" t="str">
        <x:f>IF('입력데이터'!$B63="","",'입력데이터'!L63)</x:f>
      </x:c>
      <x:c r="H63" s="15" t="str">
        <x:f>IF('입력데이터'!$B63="","",'입력데이터'!O63)</x:f>
      </x:c>
      <x:c r="I63" s="20" t="str">
        <x:f>IF($B63="", "", ROUND(MAX(30, MIN(99, IFERROR((AE63-MIN($AE$2:$AE$101))/(MAX($AE$2:$AE$101)-MIN($AE$2:$AE$101))*99,30))),0))</x:f>
      </x:c>
      <x:c r="J63" s="20" t="str">
        <x:f>IF($B63="", "", ROUND(MAX(30, MIN(99, IFERROR((AF63-MIN($AF$2:$AF$101))/(MAX($AF$2:$AF$101)-MIN($AF$2:$AF$101))*99,30))),0))</x:f>
      </x:c>
      <x:c r="K63" s="20" t="str">
        <x:f>IF($B63="", "", ROUND(MAX(30, MIN(99, IFERROR((AG63-MIN($AG$2:$AG$101))/(MAX($AG$2:$AG$101)-MIN($AG$2:$AG$101))*99,30))),0))</x:f>
      </x:c>
      <x:c r="L63" s="20" t="str">
        <x:f>IF($B63="", "", ROUND(MAX(30, MIN(99, IFERROR((AH63-MIN($AH$2:$AH$101))/(MAX($AH$2:$AH$101)-MIN($AH$2:$AH$101))*99,30))),0))</x:f>
      </x:c>
      <x:c r="M63" s="20" t="str">
        <x:f>IF($B63="", "", ROUND(MAX(30, MIN(99, IFERROR((AI63-MIN($AI$2:$AI$101))/(MAX($AI$2:$AI$101)-MIN($AI$2:$AI$101))*99,30))),0))</x:f>
      </x:c>
      <x:c r="N63" s="20" t="str">
        <x:f>IF($B63="", "", ROUND(MAX(30, MIN(99, IFERROR((AJ63-MIN($AJ$2:$AJ$101))/(MAX($AJ$2:$AJ$101)-MIN($AJ$2:$AJ$101))*99,30))),0))</x:f>
      </x:c>
      <x:c r="O63" s="20" t="str">
        <x:f>IF($B63="", "", ROUND(MAX(30, MIN(99, IFERROR((AK63-MIN($AK$2:$AK$101))/(MAX($AK$2:$AK$101)-MIN($AK$2:$AK$101))*99,30))),0))</x:f>
      </x:c>
      <x:c r="P63" s="20" t="str">
        <x:f>IF($B63="", "", ROUND(MAX(30, MIN(99, IFERROR((AL63-MIN($AL$2:$AL$101))/(MAX($AL$2:$AL$101)-MIN($AL$2:$AL$101))*99,30))),0))</x:f>
      </x:c>
      <x:c r="Q63" s="20" t="str">
        <x:f>IF($B63="", "", ROUND(MAX(30, MIN(99, IFERROR((AM63-MIN($AM$2:$AM$101))/(MAX($AM$2:$AM$101)-MIN($AM$2:$AM$101))*99,30))),0))</x:f>
      </x:c>
      <x:c r="R63" s="20" t="str">
        <x:f>IF($B63="", "", ROUND(MAX(30, MIN(99, IFERROR((AN63-MIN($AN$2:$AN$101))/(MAX($AN$2:$AN$101)-MIN($AN$2:$AN$101))*99,30))),0))</x:f>
      </x:c>
      <x:c r="S63" s="20" t="str">
        <x:f>IF($B63="", "", ROUND(MAX(30, MIN(99, IFERROR((AO63-MIN($AO$2:$AO$101))/(MAX($AO$2:$AO$101)-MIN($AO$2:$AO$101))*99,30))),0))</x:f>
      </x:c>
      <x:c r="T63" s="20" t="str">
        <x:f>IF($B63="", "", ROUND(MAX(30, MIN(99, IFERROR((AP63-MIN($AP$2:$AP$101))/(MAX($AP$2:$AP$101)-MIN($AP$2:$AP$101))*99,30))),0))</x:f>
      </x:c>
      <x:c r="U63" s="20" t="str">
        <x:f>IF($B63="", "", ROUND(MAX(30, MIN(99, IFERROR((AQ63-MIN($AQ$2:$AQ$101))/(MAX($AQ$2:$AQ$101)-MIN($AQ$2:$AQ$101))*99,30))),0))</x:f>
      </x:c>
      <x:c r="V63" s="20" t="str">
        <x:f>IF($B63="", "", ROUND(MAX(30, MIN(99, IFERROR((AR63-MIN($AR$2:$AR$101))/(MAX($AR$2:$AR$101)-MIN($AR$2:$AR$101))*99,30))),0))</x:f>
      </x:c>
      <x:c r="W63" s="20" t="str">
        <x:f>IF($B63="", "", ROUND(MAX(30, MIN(99, IFERROR((AS63-MIN($AS$2:$AS$101))/(MAX($AS$2:$AS$101)-MIN($AS$2:$AS$101))*99,30))),0))</x:f>
      </x:c>
      <x:c r="X63" s="20" t="str">
        <x:f>IF($B63="", "", ROUND(MAX(30, MIN(99, IFERROR((AT63-MIN($AT$2:$AT$101))/(MAX($AT$2:$AT$101)-MIN($AT$2:$AT$101))*99,30))),0))</x:f>
      </x:c>
      <x:c r="Y63" s="20" t="str">
        <x:f>IF($B63="","",ROUND(AVERAGE(I63:X63),0))</x:f>
      </x:c>
      <x:c r="Z63" s="20" t="str">
        <x:f>IF($B63="","",ROUND(MAX(30,MIN(99,IFS(ISNUMBER(SEARCH("PG",UPPER(SUBSTITUTE($C63,"/","-")))),84,ISNUMBER(SEARCH("SG",UPPER(SUBSTITUTE($C63,"/","-")))),76,ISNUMBER(SEARCH("SF",UPPER(SUBSTITUTE($C63,"/","-")))),68,ISNUMBER(SEARCH("PF",UPPER(SUBSTITUTE($C63,"/","-")))),55,ISNUMBER(SEARCH("C",UPPER(SUBSTITUTE($C63,"/","-")))),42,TRUE,65)+((195-IFERROR($D63,195))*0.15)+((95-IFERROR($E63,95))*0.08))),0))</x:f>
      </x:c>
      <x:c r="AA63" s="20" t="str">
        <x:f>IF($B63="","",ROUND(MAX(30,MIN(99,IFS(ISNUMBER(SEARCH("PG",UPPER(SUBSTITUTE($C63,"/","-")))),84,ISNUMBER(SEARCH("SG",UPPER(SUBSTITUTE($C63,"/","-")))),76,ISNUMBER(SEARCH("SF",UPPER(SUBSTITUTE($C63,"/","-")))),68,ISNUMBER(SEARCH("PF",UPPER(SUBSTITUTE($C63,"/","-")))),55,ISNUMBER(SEARCH("C",UPPER(SUBSTITUTE($C63,"/","-")))),42,TRUE,65)+((195-IFERROR($D63,195))*0.18)+((95-IFERROR($E63,95))*0.10))),0))</x:f>
      </x:c>
      <x:c r="AB63" s="20" t="str">
        <x:f>IF($B63="","",ROUND(MAX(30,MIN(99,IFS(ISNUMBER(SEARCH("PG",UPPER(SUBSTITUTE($C63,"/","-")))),84,ISNUMBER(SEARCH("SG",UPPER(SUBSTITUTE($C63,"/","-")))),76,ISNUMBER(SEARCH("SF",UPPER(SUBSTITUTE($C63,"/","-")))),68,ISNUMBER(SEARCH("PF",UPPER(SUBSTITUTE($C63,"/","-")))),55,ISNUMBER(SEARCH("C",UPPER(SUBSTITUTE($C63,"/","-")))),42,TRUE,65)+2+((195-IFERROR($D63,195))*0.14)+((95-IFERROR($E63,95))*0.09))),0))</x:f>
      </x:c>
      <x:c r="AC63" s="20" t="str">
        <x:f>IF($B63="","",ROUND(MAX(30,MIN(99,IFS(ISNUMBER(SEARCH("C",UPPER(SUBSTITUTE($C63,"/","-")))),92,ISNUMBER(SEARCH("PF",UPPER(SUBSTITUTE($C63,"/","-")))),82,ISNUMBER(SEARCH("SF",UPPER(SUBSTITUTE($C63,"/","-")))),64,ISNUMBER(SEARCH("SG",UPPER(SUBSTITUTE($C63,"/","-")))),48,ISNUMBER(SEARCH("PG",UPPER(SUBSTITUTE($C63,"/","-")))),36,TRUE,60)+((IFERROR($E63,95)-95)*0.45)+((IFERROR($D63,195)-195)*0.10)+((IFERROR($F63,200)-200)*0.08))),0))</x:f>
      </x:c>
      <x:c r="AD63" s="20" t="str">
        <x:f>IF($B63="","",ROUND(MAX(30,MIN(99,65+((IFERROR($F63,200)-200)*0.22)+((IFERROR($D63,195)-195)*0.08)-((IFERROR($E63,95)-95)*0.07))),0))</x:f>
      </x:c>
      <x:c r="AE63" s="15" t="n">
        <x:f>IFERROR(='입력데이터'!S63,0)*0.4+IFERROR(='입력데이터'!AP63,0)*0.4+IFERROR(='입력데이터'!AO63,0)*0.5</x:f>
        <x:v>0</x:v>
      </x:c>
      <x:c r="AF63" s="15" t="n">
        <x:f>IFERROR(='입력데이터'!S63,0)*0.5+IFERROR(='입력데이터'!P63,0)*0.8+IFERROR(='입력데이터'!AG63,0)</x:f>
        <x:v>0</x:v>
      </x:c>
      <x:c r="AG63" s="15" t="n">
        <x:f>IFERROR(='입력데이터'!AJ63,0)*8+IFERROR(IFERROR(='입력데이터'!AJ63,0)/IFERROR(='입력데이터'!AK63,0),0)*30</x:f>
        <x:v>0</x:v>
      </x:c>
      <x:c r="AH63" s="15" t="n">
        <x:f>IFERROR(='입력데이터'!AJ63,0)*6+IFERROR(='입력데이터'!AH63,0)*4</x:f>
        <x:v>0</x:v>
      </x:c>
      <x:c r="AI63" s="15" t="n">
        <x:f>IFERROR(='입력데이터'!AP63,0)*0.4+IFERROR(='입력데이터'!AE63,0)*1.5+IFERROR(='입력데이터'!Q63,0)*1.5</x:f>
        <x:v>0</x:v>
      </x:c>
      <x:c r="AJ63" s="15" t="n">
        <x:f>MAX(0,IFERROR(='입력데이터'!P63,0)-IFERROR(='입력데이터'!Q63,0)*2-IFERROR(='입력데이터'!T63,0)*3-IFERROR(='입력데이터'!Z63,0))*1.5+IFERROR(='입력데이터'!Y63,0)*0.3</x:f>
        <x:v>0</x:v>
      </x:c>
      <x:c r="AK63" s="15" t="n">
        <x:f>IFERROR(='입력데이터'!V63,0)*0.6+IFERROR(='입력데이터'!U63,0)*2+IFERROR(='입력데이터'!T63,0)*3</x:f>
        <x:v>0</x:v>
      </x:c>
      <x:c r="AL63" s="15" t="n">
        <x:f>IFERROR(='입력데이터'!AB63,0)*0.7+IFERROR(='입력데이터'!AA63,0)*1.5</x:f>
        <x:v>0</x:v>
      </x:c>
      <x:c r="AM63" s="15" t="n">
        <x:f>IFERROR(='입력데이터'!AF63,0)*5+IFERROR(IFERROR(='입력데이터'!AF63,0)/IFERROR(='입력데이터'!AL63,0),0)*3+IFERROR(='입력데이터'!AT63,0)</x:f>
        <x:v>0</x:v>
      </x:c>
      <x:c r="AN63" s="15" t="n">
        <x:f>IFERROR(='입력데이터'!AF63,0)*3+IFERROR(='입력데이터'!AG63,0)*3+IFERROR(IFERROR(='입력데이터'!AF63,0)/IFERROR(='입력데이터'!AL63,0),0)*4</x:f>
        <x:v>0</x:v>
      </x:c>
      <x:c r="AO63" s="15" t="n">
        <x:f>IFERROR(='입력데이터'!AG63,0)*12+IFERROR(='입력데이터'!AU63,0)*6</x:f>
        <x:v>0</x:v>
      </x:c>
      <x:c r="AP63" s="15" t="n">
        <x:f>IFERROR(='입력데이터'!AH63,0)*14+IFERROR(='입력데이터'!AD63,0)</x:f>
        <x:v>0</x:v>
      </x:c>
      <x:c r="AQ63" s="15" t="n">
        <x:f>IFERROR(='입력데이터'!AC63,0)*10</x:f>
        <x:v>0</x:v>
      </x:c>
      <x:c r="AR63" s="15" t="n">
        <x:f>IFERROR(='입력데이터'!AD63,0)*7+IFERROR(='입력데이터'!AH63,0)*2</x:f>
        <x:v>0</x:v>
      </x:c>
      <x:c r="AS63" s="15" t="n">
        <x:f>IFERROR(='입력데이터'!AH63,0)*8+IFERROR(='입력데이터'!AD63,0)*2+IFERROR(='입력데이터'!AI63,0)*4</x:f>
        <x:v>0</x:v>
      </x:c>
      <x:c r="AT63" s="16" t="n">
        <x:f>IFERROR(='입력데이터'!AG63,0)*8+IFERROR(='입력데이터'!AI63,0)*5+IFERROR(='입력데이터'!AU63,0)*4</x:f>
        <x:v>0</x:v>
      </x:c>
    </x:row>
    <x:row r="64">
      <x:c r="A64" s="14" t="str">
        <x:f>IF('입력데이터'!$B64="","",'입력데이터'!A64)</x:f>
      </x:c>
      <x:c r="B64" s="15" t="str">
        <x:f>IF('입력데이터'!$B64="","",'입력데이터'!B64)</x:f>
      </x:c>
      <x:c r="C64" s="15" t="str">
        <x:f>IF('입력데이터'!$B64="","",'입력데이터'!K64)</x:f>
      </x:c>
      <x:c r="D64" s="15" t="str">
        <x:f>IF('입력데이터'!$B64="","",'입력데이터'!H64)</x:f>
      </x:c>
      <x:c r="E64" s="15" t="str">
        <x:f>IF('입력데이터'!$B64="","",'입력데이터'!I64)</x:f>
      </x:c>
      <x:c r="F64" s="15" t="str">
        <x:f>IF('입력데이터'!$B64="","",'입력데이터'!J64)</x:f>
      </x:c>
      <x:c r="G64" s="15" t="str">
        <x:f>IF('입력데이터'!$B64="","",'입력데이터'!L64)</x:f>
      </x:c>
      <x:c r="H64" s="15" t="str">
        <x:f>IF('입력데이터'!$B64="","",'입력데이터'!O64)</x:f>
      </x:c>
      <x:c r="I64" s="20" t="str">
        <x:f>IF($B64="", "", ROUND(MAX(30, MIN(99, IFERROR((AE64-MIN($AE$2:$AE$101))/(MAX($AE$2:$AE$101)-MIN($AE$2:$AE$101))*99,30))),0))</x:f>
      </x:c>
      <x:c r="J64" s="20" t="str">
        <x:f>IF($B64="", "", ROUND(MAX(30, MIN(99, IFERROR((AF64-MIN($AF$2:$AF$101))/(MAX($AF$2:$AF$101)-MIN($AF$2:$AF$101))*99,30))),0))</x:f>
      </x:c>
      <x:c r="K64" s="20" t="str">
        <x:f>IF($B64="", "", ROUND(MAX(30, MIN(99, IFERROR((AG64-MIN($AG$2:$AG$101))/(MAX($AG$2:$AG$101)-MIN($AG$2:$AG$101))*99,30))),0))</x:f>
      </x:c>
      <x:c r="L64" s="20" t="str">
        <x:f>IF($B64="", "", ROUND(MAX(30, MIN(99, IFERROR((AH64-MIN($AH$2:$AH$101))/(MAX($AH$2:$AH$101)-MIN($AH$2:$AH$101))*99,30))),0))</x:f>
      </x:c>
      <x:c r="M64" s="20" t="str">
        <x:f>IF($B64="", "", ROUND(MAX(30, MIN(99, IFERROR((AI64-MIN($AI$2:$AI$101))/(MAX($AI$2:$AI$101)-MIN($AI$2:$AI$101))*99,30))),0))</x:f>
      </x:c>
      <x:c r="N64" s="20" t="str">
        <x:f>IF($B64="", "", ROUND(MAX(30, MIN(99, IFERROR((AJ64-MIN($AJ$2:$AJ$101))/(MAX($AJ$2:$AJ$101)-MIN($AJ$2:$AJ$101))*99,30))),0))</x:f>
      </x:c>
      <x:c r="O64" s="20" t="str">
        <x:f>IF($B64="", "", ROUND(MAX(30, MIN(99, IFERROR((AK64-MIN($AK$2:$AK$101))/(MAX($AK$2:$AK$101)-MIN($AK$2:$AK$101))*99,30))),0))</x:f>
      </x:c>
      <x:c r="P64" s="20" t="str">
        <x:f>IF($B64="", "", ROUND(MAX(30, MIN(99, IFERROR((AL64-MIN($AL$2:$AL$101))/(MAX($AL$2:$AL$101)-MIN($AL$2:$AL$101))*99,30))),0))</x:f>
      </x:c>
      <x:c r="Q64" s="20" t="str">
        <x:f>IF($B64="", "", ROUND(MAX(30, MIN(99, IFERROR((AM64-MIN($AM$2:$AM$101))/(MAX($AM$2:$AM$101)-MIN($AM$2:$AM$101))*99,30))),0))</x:f>
      </x:c>
      <x:c r="R64" s="20" t="str">
        <x:f>IF($B64="", "", ROUND(MAX(30, MIN(99, IFERROR((AN64-MIN($AN$2:$AN$101))/(MAX($AN$2:$AN$101)-MIN($AN$2:$AN$101))*99,30))),0))</x:f>
      </x:c>
      <x:c r="S64" s="20" t="str">
        <x:f>IF($B64="", "", ROUND(MAX(30, MIN(99, IFERROR((AO64-MIN($AO$2:$AO$101))/(MAX($AO$2:$AO$101)-MIN($AO$2:$AO$101))*99,30))),0))</x:f>
      </x:c>
      <x:c r="T64" s="20" t="str">
        <x:f>IF($B64="", "", ROUND(MAX(30, MIN(99, IFERROR((AP64-MIN($AP$2:$AP$101))/(MAX($AP$2:$AP$101)-MIN($AP$2:$AP$101))*99,30))),0))</x:f>
      </x:c>
      <x:c r="U64" s="20" t="str">
        <x:f>IF($B64="", "", ROUND(MAX(30, MIN(99, IFERROR((AQ64-MIN($AQ$2:$AQ$101))/(MAX($AQ$2:$AQ$101)-MIN($AQ$2:$AQ$101))*99,30))),0))</x:f>
      </x:c>
      <x:c r="V64" s="20" t="str">
        <x:f>IF($B64="", "", ROUND(MAX(30, MIN(99, IFERROR((AR64-MIN($AR$2:$AR$101))/(MAX($AR$2:$AR$101)-MIN($AR$2:$AR$101))*99,30))),0))</x:f>
      </x:c>
      <x:c r="W64" s="20" t="str">
        <x:f>IF($B64="", "", ROUND(MAX(30, MIN(99, IFERROR((AS64-MIN($AS$2:$AS$101))/(MAX($AS$2:$AS$101)-MIN($AS$2:$AS$101))*99,30))),0))</x:f>
      </x:c>
      <x:c r="X64" s="20" t="str">
        <x:f>IF($B64="", "", ROUND(MAX(30, MIN(99, IFERROR((AT64-MIN($AT$2:$AT$101))/(MAX($AT$2:$AT$101)-MIN($AT$2:$AT$101))*99,30))),0))</x:f>
      </x:c>
      <x:c r="Y64" s="20" t="str">
        <x:f>IF($B64="","",ROUND(AVERAGE(I64:X64),0))</x:f>
      </x:c>
      <x:c r="Z64" s="20" t="str">
        <x:f>IF($B64="","",ROUND(MAX(30,MIN(99,IFS(ISNUMBER(SEARCH("PG",UPPER(SUBSTITUTE($C64,"/","-")))),84,ISNUMBER(SEARCH("SG",UPPER(SUBSTITUTE($C64,"/","-")))),76,ISNUMBER(SEARCH("SF",UPPER(SUBSTITUTE($C64,"/","-")))),68,ISNUMBER(SEARCH("PF",UPPER(SUBSTITUTE($C64,"/","-")))),55,ISNUMBER(SEARCH("C",UPPER(SUBSTITUTE($C64,"/","-")))),42,TRUE,65)+((195-IFERROR($D64,195))*0.15)+((95-IFERROR($E64,95))*0.08))),0))</x:f>
      </x:c>
      <x:c r="AA64" s="20" t="str">
        <x:f>IF($B64="","",ROUND(MAX(30,MIN(99,IFS(ISNUMBER(SEARCH("PG",UPPER(SUBSTITUTE($C64,"/","-")))),84,ISNUMBER(SEARCH("SG",UPPER(SUBSTITUTE($C64,"/","-")))),76,ISNUMBER(SEARCH("SF",UPPER(SUBSTITUTE($C64,"/","-")))),68,ISNUMBER(SEARCH("PF",UPPER(SUBSTITUTE($C64,"/","-")))),55,ISNUMBER(SEARCH("C",UPPER(SUBSTITUTE($C64,"/","-")))),42,TRUE,65)+((195-IFERROR($D64,195))*0.18)+((95-IFERROR($E64,95))*0.10))),0))</x:f>
      </x:c>
      <x:c r="AB64" s="20" t="str">
        <x:f>IF($B64="","",ROUND(MAX(30,MIN(99,IFS(ISNUMBER(SEARCH("PG",UPPER(SUBSTITUTE($C64,"/","-")))),84,ISNUMBER(SEARCH("SG",UPPER(SUBSTITUTE($C64,"/","-")))),76,ISNUMBER(SEARCH("SF",UPPER(SUBSTITUTE($C64,"/","-")))),68,ISNUMBER(SEARCH("PF",UPPER(SUBSTITUTE($C64,"/","-")))),55,ISNUMBER(SEARCH("C",UPPER(SUBSTITUTE($C64,"/","-")))),42,TRUE,65)+2+((195-IFERROR($D64,195))*0.14)+((95-IFERROR($E64,95))*0.09))),0))</x:f>
      </x:c>
      <x:c r="AC64" s="20" t="str">
        <x:f>IF($B64="","",ROUND(MAX(30,MIN(99,IFS(ISNUMBER(SEARCH("C",UPPER(SUBSTITUTE($C64,"/","-")))),92,ISNUMBER(SEARCH("PF",UPPER(SUBSTITUTE($C64,"/","-")))),82,ISNUMBER(SEARCH("SF",UPPER(SUBSTITUTE($C64,"/","-")))),64,ISNUMBER(SEARCH("SG",UPPER(SUBSTITUTE($C64,"/","-")))),48,ISNUMBER(SEARCH("PG",UPPER(SUBSTITUTE($C64,"/","-")))),36,TRUE,60)+((IFERROR($E64,95)-95)*0.45)+((IFERROR($D64,195)-195)*0.10)+((IFERROR($F64,200)-200)*0.08))),0))</x:f>
      </x:c>
      <x:c r="AD64" s="20" t="str">
        <x:f>IF($B64="","",ROUND(MAX(30,MIN(99,65+((IFERROR($F64,200)-200)*0.22)+((IFERROR($D64,195)-195)*0.08)-((IFERROR($E64,95)-95)*0.07))),0))</x:f>
      </x:c>
      <x:c r="AE64" s="15" t="n">
        <x:f>IFERROR(='입력데이터'!S64,0)*0.4+IFERROR(='입력데이터'!AP64,0)*0.4+IFERROR(='입력데이터'!AO64,0)*0.5</x:f>
        <x:v>0</x:v>
      </x:c>
      <x:c r="AF64" s="15" t="n">
        <x:f>IFERROR(='입력데이터'!S64,0)*0.5+IFERROR(='입력데이터'!P64,0)*0.8+IFERROR(='입력데이터'!AG64,0)</x:f>
        <x:v>0</x:v>
      </x:c>
      <x:c r="AG64" s="15" t="n">
        <x:f>IFERROR(='입력데이터'!AJ64,0)*8+IFERROR(IFERROR(='입력데이터'!AJ64,0)/IFERROR(='입력데이터'!AK64,0),0)*30</x:f>
        <x:v>0</x:v>
      </x:c>
      <x:c r="AH64" s="15" t="n">
        <x:f>IFERROR(='입력데이터'!AJ64,0)*6+IFERROR(='입력데이터'!AH64,0)*4</x:f>
        <x:v>0</x:v>
      </x:c>
      <x:c r="AI64" s="15" t="n">
        <x:f>IFERROR(='입력데이터'!AP64,0)*0.4+IFERROR(='입력데이터'!AE64,0)*1.5+IFERROR(='입력데이터'!Q64,0)*1.5</x:f>
        <x:v>0</x:v>
      </x:c>
      <x:c r="AJ64" s="15" t="n">
        <x:f>MAX(0,IFERROR(='입력데이터'!P64,0)-IFERROR(='입력데이터'!Q64,0)*2-IFERROR(='입력데이터'!T64,0)*3-IFERROR(='입력데이터'!Z64,0))*1.5+IFERROR(='입력데이터'!Y64,0)*0.3</x:f>
        <x:v>0</x:v>
      </x:c>
      <x:c r="AK64" s="15" t="n">
        <x:f>IFERROR(='입력데이터'!V64,0)*0.6+IFERROR(='입력데이터'!U64,0)*2+IFERROR(='입력데이터'!T64,0)*3</x:f>
        <x:v>0</x:v>
      </x:c>
      <x:c r="AL64" s="15" t="n">
        <x:f>IFERROR(='입력데이터'!AB64,0)*0.7+IFERROR(='입력데이터'!AA64,0)*1.5</x:f>
        <x:v>0</x:v>
      </x:c>
      <x:c r="AM64" s="15" t="n">
        <x:f>IFERROR(='입력데이터'!AF64,0)*5+IFERROR(IFERROR(='입력데이터'!AF64,0)/IFERROR(='입력데이터'!AL64,0),0)*3+IFERROR(='입력데이터'!AT64,0)</x:f>
        <x:v>0</x:v>
      </x:c>
      <x:c r="AN64" s="15" t="n">
        <x:f>IFERROR(='입력데이터'!AF64,0)*3+IFERROR(='입력데이터'!AG64,0)*3+IFERROR(IFERROR(='입력데이터'!AF64,0)/IFERROR(='입력데이터'!AL64,0),0)*4</x:f>
        <x:v>0</x:v>
      </x:c>
      <x:c r="AO64" s="15" t="n">
        <x:f>IFERROR(='입력데이터'!AG64,0)*12+IFERROR(='입력데이터'!AU64,0)*6</x:f>
        <x:v>0</x:v>
      </x:c>
      <x:c r="AP64" s="15" t="n">
        <x:f>IFERROR(='입력데이터'!AH64,0)*14+IFERROR(='입력데이터'!AD64,0)</x:f>
        <x:v>0</x:v>
      </x:c>
      <x:c r="AQ64" s="15" t="n">
        <x:f>IFERROR(='입력데이터'!AC64,0)*10</x:f>
        <x:v>0</x:v>
      </x:c>
      <x:c r="AR64" s="15" t="n">
        <x:f>IFERROR(='입력데이터'!AD64,0)*7+IFERROR(='입력데이터'!AH64,0)*2</x:f>
        <x:v>0</x:v>
      </x:c>
      <x:c r="AS64" s="15" t="n">
        <x:f>IFERROR(='입력데이터'!AH64,0)*8+IFERROR(='입력데이터'!AD64,0)*2+IFERROR(='입력데이터'!AI64,0)*4</x:f>
        <x:v>0</x:v>
      </x:c>
      <x:c r="AT64" s="16" t="n">
        <x:f>IFERROR(='입력데이터'!AG64,0)*8+IFERROR(='입력데이터'!AI64,0)*5+IFERROR(='입력데이터'!AU64,0)*4</x:f>
        <x:v>0</x:v>
      </x:c>
    </x:row>
    <x:row r="65">
      <x:c r="A65" s="14" t="str">
        <x:f>IF('입력데이터'!$B65="","",'입력데이터'!A65)</x:f>
      </x:c>
      <x:c r="B65" s="15" t="str">
        <x:f>IF('입력데이터'!$B65="","",'입력데이터'!B65)</x:f>
      </x:c>
      <x:c r="C65" s="15" t="str">
        <x:f>IF('입력데이터'!$B65="","",'입력데이터'!K65)</x:f>
      </x:c>
      <x:c r="D65" s="15" t="str">
        <x:f>IF('입력데이터'!$B65="","",'입력데이터'!H65)</x:f>
      </x:c>
      <x:c r="E65" s="15" t="str">
        <x:f>IF('입력데이터'!$B65="","",'입력데이터'!I65)</x:f>
      </x:c>
      <x:c r="F65" s="15" t="str">
        <x:f>IF('입력데이터'!$B65="","",'입력데이터'!J65)</x:f>
      </x:c>
      <x:c r="G65" s="15" t="str">
        <x:f>IF('입력데이터'!$B65="","",'입력데이터'!L65)</x:f>
      </x:c>
      <x:c r="H65" s="15" t="str">
        <x:f>IF('입력데이터'!$B65="","",'입력데이터'!O65)</x:f>
      </x:c>
      <x:c r="I65" s="20" t="str">
        <x:f>IF($B65="", "", ROUND(MAX(30, MIN(99, IFERROR((AE65-MIN($AE$2:$AE$101))/(MAX($AE$2:$AE$101)-MIN($AE$2:$AE$101))*99,30))),0))</x:f>
      </x:c>
      <x:c r="J65" s="20" t="str">
        <x:f>IF($B65="", "", ROUND(MAX(30, MIN(99, IFERROR((AF65-MIN($AF$2:$AF$101))/(MAX($AF$2:$AF$101)-MIN($AF$2:$AF$101))*99,30))),0))</x:f>
      </x:c>
      <x:c r="K65" s="20" t="str">
        <x:f>IF($B65="", "", ROUND(MAX(30, MIN(99, IFERROR((AG65-MIN($AG$2:$AG$101))/(MAX($AG$2:$AG$101)-MIN($AG$2:$AG$101))*99,30))),0))</x:f>
      </x:c>
      <x:c r="L65" s="20" t="str">
        <x:f>IF($B65="", "", ROUND(MAX(30, MIN(99, IFERROR((AH65-MIN($AH$2:$AH$101))/(MAX($AH$2:$AH$101)-MIN($AH$2:$AH$101))*99,30))),0))</x:f>
      </x:c>
      <x:c r="M65" s="20" t="str">
        <x:f>IF($B65="", "", ROUND(MAX(30, MIN(99, IFERROR((AI65-MIN($AI$2:$AI$101))/(MAX($AI$2:$AI$101)-MIN($AI$2:$AI$101))*99,30))),0))</x:f>
      </x:c>
      <x:c r="N65" s="20" t="str">
        <x:f>IF($B65="", "", ROUND(MAX(30, MIN(99, IFERROR((AJ65-MIN($AJ$2:$AJ$101))/(MAX($AJ$2:$AJ$101)-MIN($AJ$2:$AJ$101))*99,30))),0))</x:f>
      </x:c>
      <x:c r="O65" s="20" t="str">
        <x:f>IF($B65="", "", ROUND(MAX(30, MIN(99, IFERROR((AK65-MIN($AK$2:$AK$101))/(MAX($AK$2:$AK$101)-MIN($AK$2:$AK$101))*99,30))),0))</x:f>
      </x:c>
      <x:c r="P65" s="20" t="str">
        <x:f>IF($B65="", "", ROUND(MAX(30, MIN(99, IFERROR((AL65-MIN($AL$2:$AL$101))/(MAX($AL$2:$AL$101)-MIN($AL$2:$AL$101))*99,30))),0))</x:f>
      </x:c>
      <x:c r="Q65" s="20" t="str">
        <x:f>IF($B65="", "", ROUND(MAX(30, MIN(99, IFERROR((AM65-MIN($AM$2:$AM$101))/(MAX($AM$2:$AM$101)-MIN($AM$2:$AM$101))*99,30))),0))</x:f>
      </x:c>
      <x:c r="R65" s="20" t="str">
        <x:f>IF($B65="", "", ROUND(MAX(30, MIN(99, IFERROR((AN65-MIN($AN$2:$AN$101))/(MAX($AN$2:$AN$101)-MIN($AN$2:$AN$101))*99,30))),0))</x:f>
      </x:c>
      <x:c r="S65" s="20" t="str">
        <x:f>IF($B65="", "", ROUND(MAX(30, MIN(99, IFERROR((AO65-MIN($AO$2:$AO$101))/(MAX($AO$2:$AO$101)-MIN($AO$2:$AO$101))*99,30))),0))</x:f>
      </x:c>
      <x:c r="T65" s="20" t="str">
        <x:f>IF($B65="", "", ROUND(MAX(30, MIN(99, IFERROR((AP65-MIN($AP$2:$AP$101))/(MAX($AP$2:$AP$101)-MIN($AP$2:$AP$101))*99,30))),0))</x:f>
      </x:c>
      <x:c r="U65" s="20" t="str">
        <x:f>IF($B65="", "", ROUND(MAX(30, MIN(99, IFERROR((AQ65-MIN($AQ$2:$AQ$101))/(MAX($AQ$2:$AQ$101)-MIN($AQ$2:$AQ$101))*99,30))),0))</x:f>
      </x:c>
      <x:c r="V65" s="20" t="str">
        <x:f>IF($B65="", "", ROUND(MAX(30, MIN(99, IFERROR((AR65-MIN($AR$2:$AR$101))/(MAX($AR$2:$AR$101)-MIN($AR$2:$AR$101))*99,30))),0))</x:f>
      </x:c>
      <x:c r="W65" s="20" t="str">
        <x:f>IF($B65="", "", ROUND(MAX(30, MIN(99, IFERROR((AS65-MIN($AS$2:$AS$101))/(MAX($AS$2:$AS$101)-MIN($AS$2:$AS$101))*99,30))),0))</x:f>
      </x:c>
      <x:c r="X65" s="20" t="str">
        <x:f>IF($B65="", "", ROUND(MAX(30, MIN(99, IFERROR((AT65-MIN($AT$2:$AT$101))/(MAX($AT$2:$AT$101)-MIN($AT$2:$AT$101))*99,30))),0))</x:f>
      </x:c>
      <x:c r="Y65" s="20" t="str">
        <x:f>IF($B65="","",ROUND(AVERAGE(I65:X65),0))</x:f>
      </x:c>
      <x:c r="Z65" s="20" t="str">
        <x:f>IF($B65="","",ROUND(MAX(30,MIN(99,IFS(ISNUMBER(SEARCH("PG",UPPER(SUBSTITUTE($C65,"/","-")))),84,ISNUMBER(SEARCH("SG",UPPER(SUBSTITUTE($C65,"/","-")))),76,ISNUMBER(SEARCH("SF",UPPER(SUBSTITUTE($C65,"/","-")))),68,ISNUMBER(SEARCH("PF",UPPER(SUBSTITUTE($C65,"/","-")))),55,ISNUMBER(SEARCH("C",UPPER(SUBSTITUTE($C65,"/","-")))),42,TRUE,65)+((195-IFERROR($D65,195))*0.15)+((95-IFERROR($E65,95))*0.08))),0))</x:f>
      </x:c>
      <x:c r="AA65" s="20" t="str">
        <x:f>IF($B65="","",ROUND(MAX(30,MIN(99,IFS(ISNUMBER(SEARCH("PG",UPPER(SUBSTITUTE($C65,"/","-")))),84,ISNUMBER(SEARCH("SG",UPPER(SUBSTITUTE($C65,"/","-")))),76,ISNUMBER(SEARCH("SF",UPPER(SUBSTITUTE($C65,"/","-")))),68,ISNUMBER(SEARCH("PF",UPPER(SUBSTITUTE($C65,"/","-")))),55,ISNUMBER(SEARCH("C",UPPER(SUBSTITUTE($C65,"/","-")))),42,TRUE,65)+((195-IFERROR($D65,195))*0.18)+((95-IFERROR($E65,95))*0.10))),0))</x:f>
      </x:c>
      <x:c r="AB65" s="20" t="str">
        <x:f>IF($B65="","",ROUND(MAX(30,MIN(99,IFS(ISNUMBER(SEARCH("PG",UPPER(SUBSTITUTE($C65,"/","-")))),84,ISNUMBER(SEARCH("SG",UPPER(SUBSTITUTE($C65,"/","-")))),76,ISNUMBER(SEARCH("SF",UPPER(SUBSTITUTE($C65,"/","-")))),68,ISNUMBER(SEARCH("PF",UPPER(SUBSTITUTE($C65,"/","-")))),55,ISNUMBER(SEARCH("C",UPPER(SUBSTITUTE($C65,"/","-")))),42,TRUE,65)+2+((195-IFERROR($D65,195))*0.14)+((95-IFERROR($E65,95))*0.09))),0))</x:f>
      </x:c>
      <x:c r="AC65" s="20" t="str">
        <x:f>IF($B65="","",ROUND(MAX(30,MIN(99,IFS(ISNUMBER(SEARCH("C",UPPER(SUBSTITUTE($C65,"/","-")))),92,ISNUMBER(SEARCH("PF",UPPER(SUBSTITUTE($C65,"/","-")))),82,ISNUMBER(SEARCH("SF",UPPER(SUBSTITUTE($C65,"/","-")))),64,ISNUMBER(SEARCH("SG",UPPER(SUBSTITUTE($C65,"/","-")))),48,ISNUMBER(SEARCH("PG",UPPER(SUBSTITUTE($C65,"/","-")))),36,TRUE,60)+((IFERROR($E65,95)-95)*0.45)+((IFERROR($D65,195)-195)*0.10)+((IFERROR($F65,200)-200)*0.08))),0))</x:f>
      </x:c>
      <x:c r="AD65" s="20" t="str">
        <x:f>IF($B65="","",ROUND(MAX(30,MIN(99,65+((IFERROR($F65,200)-200)*0.22)+((IFERROR($D65,195)-195)*0.08)-((IFERROR($E65,95)-95)*0.07))),0))</x:f>
      </x:c>
      <x:c r="AE65" s="15" t="n">
        <x:f>IFERROR(='입력데이터'!S65,0)*0.4+IFERROR(='입력데이터'!AP65,0)*0.4+IFERROR(='입력데이터'!AO65,0)*0.5</x:f>
        <x:v>0</x:v>
      </x:c>
      <x:c r="AF65" s="15" t="n">
        <x:f>IFERROR(='입력데이터'!S65,0)*0.5+IFERROR(='입력데이터'!P65,0)*0.8+IFERROR(='입력데이터'!AG65,0)</x:f>
        <x:v>0</x:v>
      </x:c>
      <x:c r="AG65" s="15" t="n">
        <x:f>IFERROR(='입력데이터'!AJ65,0)*8+IFERROR(IFERROR(='입력데이터'!AJ65,0)/IFERROR(='입력데이터'!AK65,0),0)*30</x:f>
        <x:v>0</x:v>
      </x:c>
      <x:c r="AH65" s="15" t="n">
        <x:f>IFERROR(='입력데이터'!AJ65,0)*6+IFERROR(='입력데이터'!AH65,0)*4</x:f>
        <x:v>0</x:v>
      </x:c>
      <x:c r="AI65" s="15" t="n">
        <x:f>IFERROR(='입력데이터'!AP65,0)*0.4+IFERROR(='입력데이터'!AE65,0)*1.5+IFERROR(='입력데이터'!Q65,0)*1.5</x:f>
        <x:v>0</x:v>
      </x:c>
      <x:c r="AJ65" s="15" t="n">
        <x:f>MAX(0,IFERROR(='입력데이터'!P65,0)-IFERROR(='입력데이터'!Q65,0)*2-IFERROR(='입력데이터'!T65,0)*3-IFERROR(='입력데이터'!Z65,0))*1.5+IFERROR(='입력데이터'!Y65,0)*0.3</x:f>
        <x:v>0</x:v>
      </x:c>
      <x:c r="AK65" s="15" t="n">
        <x:f>IFERROR(='입력데이터'!V65,0)*0.6+IFERROR(='입력데이터'!U65,0)*2+IFERROR(='입력데이터'!T65,0)*3</x:f>
        <x:v>0</x:v>
      </x:c>
      <x:c r="AL65" s="15" t="n">
        <x:f>IFERROR(='입력데이터'!AB65,0)*0.7+IFERROR(='입력데이터'!AA65,0)*1.5</x:f>
        <x:v>0</x:v>
      </x:c>
      <x:c r="AM65" s="15" t="n">
        <x:f>IFERROR(='입력데이터'!AF65,0)*5+IFERROR(IFERROR(='입력데이터'!AF65,0)/IFERROR(='입력데이터'!AL65,0),0)*3+IFERROR(='입력데이터'!AT65,0)</x:f>
        <x:v>0</x:v>
      </x:c>
      <x:c r="AN65" s="15" t="n">
        <x:f>IFERROR(='입력데이터'!AF65,0)*3+IFERROR(='입력데이터'!AG65,0)*3+IFERROR(IFERROR(='입력데이터'!AF65,0)/IFERROR(='입력데이터'!AL65,0),0)*4</x:f>
        <x:v>0</x:v>
      </x:c>
      <x:c r="AO65" s="15" t="n">
        <x:f>IFERROR(='입력데이터'!AG65,0)*12+IFERROR(='입력데이터'!AU65,0)*6</x:f>
        <x:v>0</x:v>
      </x:c>
      <x:c r="AP65" s="15" t="n">
        <x:f>IFERROR(='입력데이터'!AH65,0)*14+IFERROR(='입력데이터'!AD65,0)</x:f>
        <x:v>0</x:v>
      </x:c>
      <x:c r="AQ65" s="15" t="n">
        <x:f>IFERROR(='입력데이터'!AC65,0)*10</x:f>
        <x:v>0</x:v>
      </x:c>
      <x:c r="AR65" s="15" t="n">
        <x:f>IFERROR(='입력데이터'!AD65,0)*7+IFERROR(='입력데이터'!AH65,0)*2</x:f>
        <x:v>0</x:v>
      </x:c>
      <x:c r="AS65" s="15" t="n">
        <x:f>IFERROR(='입력데이터'!AH65,0)*8+IFERROR(='입력데이터'!AD65,0)*2+IFERROR(='입력데이터'!AI65,0)*4</x:f>
        <x:v>0</x:v>
      </x:c>
      <x:c r="AT65" s="16" t="n">
        <x:f>IFERROR(='입력데이터'!AG65,0)*8+IFERROR(='입력데이터'!AI65,0)*5+IFERROR(='입력데이터'!AU65,0)*4</x:f>
        <x:v>0</x:v>
      </x:c>
    </x:row>
    <x:row r="66">
      <x:c r="A66" s="14" t="str">
        <x:f>IF('입력데이터'!$B66="","",'입력데이터'!A66)</x:f>
      </x:c>
      <x:c r="B66" s="15" t="str">
        <x:f>IF('입력데이터'!$B66="","",'입력데이터'!B66)</x:f>
      </x:c>
      <x:c r="C66" s="15" t="str">
        <x:f>IF('입력데이터'!$B66="","",'입력데이터'!K66)</x:f>
      </x:c>
      <x:c r="D66" s="15" t="str">
        <x:f>IF('입력데이터'!$B66="","",'입력데이터'!H66)</x:f>
      </x:c>
      <x:c r="E66" s="15" t="str">
        <x:f>IF('입력데이터'!$B66="","",'입력데이터'!I66)</x:f>
      </x:c>
      <x:c r="F66" s="15" t="str">
        <x:f>IF('입력데이터'!$B66="","",'입력데이터'!J66)</x:f>
      </x:c>
      <x:c r="G66" s="15" t="str">
        <x:f>IF('입력데이터'!$B66="","",'입력데이터'!L66)</x:f>
      </x:c>
      <x:c r="H66" s="15" t="str">
        <x:f>IF('입력데이터'!$B66="","",'입력데이터'!O66)</x:f>
      </x:c>
      <x:c r="I66" s="20" t="str">
        <x:f>IF($B66="", "", ROUND(MAX(30, MIN(99, IFERROR((AE66-MIN($AE$2:$AE$101))/(MAX($AE$2:$AE$101)-MIN($AE$2:$AE$101))*99,30))),0))</x:f>
      </x:c>
      <x:c r="J66" s="20" t="str">
        <x:f>IF($B66="", "", ROUND(MAX(30, MIN(99, IFERROR((AF66-MIN($AF$2:$AF$101))/(MAX($AF$2:$AF$101)-MIN($AF$2:$AF$101))*99,30))),0))</x:f>
      </x:c>
      <x:c r="K66" s="20" t="str">
        <x:f>IF($B66="", "", ROUND(MAX(30, MIN(99, IFERROR((AG66-MIN($AG$2:$AG$101))/(MAX($AG$2:$AG$101)-MIN($AG$2:$AG$101))*99,30))),0))</x:f>
      </x:c>
      <x:c r="L66" s="20" t="str">
        <x:f>IF($B66="", "", ROUND(MAX(30, MIN(99, IFERROR((AH66-MIN($AH$2:$AH$101))/(MAX($AH$2:$AH$101)-MIN($AH$2:$AH$101))*99,30))),0))</x:f>
      </x:c>
      <x:c r="M66" s="20" t="str">
        <x:f>IF($B66="", "", ROUND(MAX(30, MIN(99, IFERROR((AI66-MIN($AI$2:$AI$101))/(MAX($AI$2:$AI$101)-MIN($AI$2:$AI$101))*99,30))),0))</x:f>
      </x:c>
      <x:c r="N66" s="20" t="str">
        <x:f>IF($B66="", "", ROUND(MAX(30, MIN(99, IFERROR((AJ66-MIN($AJ$2:$AJ$101))/(MAX($AJ$2:$AJ$101)-MIN($AJ$2:$AJ$101))*99,30))),0))</x:f>
      </x:c>
      <x:c r="O66" s="20" t="str">
        <x:f>IF($B66="", "", ROUND(MAX(30, MIN(99, IFERROR((AK66-MIN($AK$2:$AK$101))/(MAX($AK$2:$AK$101)-MIN($AK$2:$AK$101))*99,30))),0))</x:f>
      </x:c>
      <x:c r="P66" s="20" t="str">
        <x:f>IF($B66="", "", ROUND(MAX(30, MIN(99, IFERROR((AL66-MIN($AL$2:$AL$101))/(MAX($AL$2:$AL$101)-MIN($AL$2:$AL$101))*99,30))),0))</x:f>
      </x:c>
      <x:c r="Q66" s="20" t="str">
        <x:f>IF($B66="", "", ROUND(MAX(30, MIN(99, IFERROR((AM66-MIN($AM$2:$AM$101))/(MAX($AM$2:$AM$101)-MIN($AM$2:$AM$101))*99,30))),0))</x:f>
      </x:c>
      <x:c r="R66" s="20" t="str">
        <x:f>IF($B66="", "", ROUND(MAX(30, MIN(99, IFERROR((AN66-MIN($AN$2:$AN$101))/(MAX($AN$2:$AN$101)-MIN($AN$2:$AN$101))*99,30))),0))</x:f>
      </x:c>
      <x:c r="S66" s="20" t="str">
        <x:f>IF($B66="", "", ROUND(MAX(30, MIN(99, IFERROR((AO66-MIN($AO$2:$AO$101))/(MAX($AO$2:$AO$101)-MIN($AO$2:$AO$101))*99,30))),0))</x:f>
      </x:c>
      <x:c r="T66" s="20" t="str">
        <x:f>IF($B66="", "", ROUND(MAX(30, MIN(99, IFERROR((AP66-MIN($AP$2:$AP$101))/(MAX($AP$2:$AP$101)-MIN($AP$2:$AP$101))*99,30))),0))</x:f>
      </x:c>
      <x:c r="U66" s="20" t="str">
        <x:f>IF($B66="", "", ROUND(MAX(30, MIN(99, IFERROR((AQ66-MIN($AQ$2:$AQ$101))/(MAX($AQ$2:$AQ$101)-MIN($AQ$2:$AQ$101))*99,30))),0))</x:f>
      </x:c>
      <x:c r="V66" s="20" t="str">
        <x:f>IF($B66="", "", ROUND(MAX(30, MIN(99, IFERROR((AR66-MIN($AR$2:$AR$101))/(MAX($AR$2:$AR$101)-MIN($AR$2:$AR$101))*99,30))),0))</x:f>
      </x:c>
      <x:c r="W66" s="20" t="str">
        <x:f>IF($B66="", "", ROUND(MAX(30, MIN(99, IFERROR((AS66-MIN($AS$2:$AS$101))/(MAX($AS$2:$AS$101)-MIN($AS$2:$AS$101))*99,30))),0))</x:f>
      </x:c>
      <x:c r="X66" s="20" t="str">
        <x:f>IF($B66="", "", ROUND(MAX(30, MIN(99, IFERROR((AT66-MIN($AT$2:$AT$101))/(MAX($AT$2:$AT$101)-MIN($AT$2:$AT$101))*99,30))),0))</x:f>
      </x:c>
      <x:c r="Y66" s="20" t="str">
        <x:f>IF($B66="","",ROUND(AVERAGE(I66:X66),0))</x:f>
      </x:c>
      <x:c r="Z66" s="20" t="str">
        <x:f>IF($B66="","",ROUND(MAX(30,MIN(99,IFS(ISNUMBER(SEARCH("PG",UPPER(SUBSTITUTE($C66,"/","-")))),84,ISNUMBER(SEARCH("SG",UPPER(SUBSTITUTE($C66,"/","-")))),76,ISNUMBER(SEARCH("SF",UPPER(SUBSTITUTE($C66,"/","-")))),68,ISNUMBER(SEARCH("PF",UPPER(SUBSTITUTE($C66,"/","-")))),55,ISNUMBER(SEARCH("C",UPPER(SUBSTITUTE($C66,"/","-")))),42,TRUE,65)+((195-IFERROR($D66,195))*0.15)+((95-IFERROR($E66,95))*0.08))),0))</x:f>
      </x:c>
      <x:c r="AA66" s="20" t="str">
        <x:f>IF($B66="","",ROUND(MAX(30,MIN(99,IFS(ISNUMBER(SEARCH("PG",UPPER(SUBSTITUTE($C66,"/","-")))),84,ISNUMBER(SEARCH("SG",UPPER(SUBSTITUTE($C66,"/","-")))),76,ISNUMBER(SEARCH("SF",UPPER(SUBSTITUTE($C66,"/","-")))),68,ISNUMBER(SEARCH("PF",UPPER(SUBSTITUTE($C66,"/","-")))),55,ISNUMBER(SEARCH("C",UPPER(SUBSTITUTE($C66,"/","-")))),42,TRUE,65)+((195-IFERROR($D66,195))*0.18)+((95-IFERROR($E66,95))*0.10))),0))</x:f>
      </x:c>
      <x:c r="AB66" s="20" t="str">
        <x:f>IF($B66="","",ROUND(MAX(30,MIN(99,IFS(ISNUMBER(SEARCH("PG",UPPER(SUBSTITUTE($C66,"/","-")))),84,ISNUMBER(SEARCH("SG",UPPER(SUBSTITUTE($C66,"/","-")))),76,ISNUMBER(SEARCH("SF",UPPER(SUBSTITUTE($C66,"/","-")))),68,ISNUMBER(SEARCH("PF",UPPER(SUBSTITUTE($C66,"/","-")))),55,ISNUMBER(SEARCH("C",UPPER(SUBSTITUTE($C66,"/","-")))),42,TRUE,65)+2+((195-IFERROR($D66,195))*0.14)+((95-IFERROR($E66,95))*0.09))),0))</x:f>
      </x:c>
      <x:c r="AC66" s="20" t="str">
        <x:f>IF($B66="","",ROUND(MAX(30,MIN(99,IFS(ISNUMBER(SEARCH("C",UPPER(SUBSTITUTE($C66,"/","-")))),92,ISNUMBER(SEARCH("PF",UPPER(SUBSTITUTE($C66,"/","-")))),82,ISNUMBER(SEARCH("SF",UPPER(SUBSTITUTE($C66,"/","-")))),64,ISNUMBER(SEARCH("SG",UPPER(SUBSTITUTE($C66,"/","-")))),48,ISNUMBER(SEARCH("PG",UPPER(SUBSTITUTE($C66,"/","-")))),36,TRUE,60)+((IFERROR($E66,95)-95)*0.45)+((IFERROR($D66,195)-195)*0.10)+((IFERROR($F66,200)-200)*0.08))),0))</x:f>
      </x:c>
      <x:c r="AD66" s="20" t="str">
        <x:f>IF($B66="","",ROUND(MAX(30,MIN(99,65+((IFERROR($F66,200)-200)*0.22)+((IFERROR($D66,195)-195)*0.08)-((IFERROR($E66,95)-95)*0.07))),0))</x:f>
      </x:c>
      <x:c r="AE66" s="15" t="n">
        <x:f>IFERROR(='입력데이터'!S66,0)*0.4+IFERROR(='입력데이터'!AP66,0)*0.4+IFERROR(='입력데이터'!AO66,0)*0.5</x:f>
        <x:v>0</x:v>
      </x:c>
      <x:c r="AF66" s="15" t="n">
        <x:f>IFERROR(='입력데이터'!S66,0)*0.5+IFERROR(='입력데이터'!P66,0)*0.8+IFERROR(='입력데이터'!AG66,0)</x:f>
        <x:v>0</x:v>
      </x:c>
      <x:c r="AG66" s="15" t="n">
        <x:f>IFERROR(='입력데이터'!AJ66,0)*8+IFERROR(IFERROR(='입력데이터'!AJ66,0)/IFERROR(='입력데이터'!AK66,0),0)*30</x:f>
        <x:v>0</x:v>
      </x:c>
      <x:c r="AH66" s="15" t="n">
        <x:f>IFERROR(='입력데이터'!AJ66,0)*6+IFERROR(='입력데이터'!AH66,0)*4</x:f>
        <x:v>0</x:v>
      </x:c>
      <x:c r="AI66" s="15" t="n">
        <x:f>IFERROR(='입력데이터'!AP66,0)*0.4+IFERROR(='입력데이터'!AE66,0)*1.5+IFERROR(='입력데이터'!Q66,0)*1.5</x:f>
        <x:v>0</x:v>
      </x:c>
      <x:c r="AJ66" s="15" t="n">
        <x:f>MAX(0,IFERROR(='입력데이터'!P66,0)-IFERROR(='입력데이터'!Q66,0)*2-IFERROR(='입력데이터'!T66,0)*3-IFERROR(='입력데이터'!Z66,0))*1.5+IFERROR(='입력데이터'!Y66,0)*0.3</x:f>
        <x:v>0</x:v>
      </x:c>
      <x:c r="AK66" s="15" t="n">
        <x:f>IFERROR(='입력데이터'!V66,0)*0.6+IFERROR(='입력데이터'!U66,0)*2+IFERROR(='입력데이터'!T66,0)*3</x:f>
        <x:v>0</x:v>
      </x:c>
      <x:c r="AL66" s="15" t="n">
        <x:f>IFERROR(='입력데이터'!AB66,0)*0.7+IFERROR(='입력데이터'!AA66,0)*1.5</x:f>
        <x:v>0</x:v>
      </x:c>
      <x:c r="AM66" s="15" t="n">
        <x:f>IFERROR(='입력데이터'!AF66,0)*5+IFERROR(IFERROR(='입력데이터'!AF66,0)/IFERROR(='입력데이터'!AL66,0),0)*3+IFERROR(='입력데이터'!AT66,0)</x:f>
        <x:v>0</x:v>
      </x:c>
      <x:c r="AN66" s="15" t="n">
        <x:f>IFERROR(='입력데이터'!AF66,0)*3+IFERROR(='입력데이터'!AG66,0)*3+IFERROR(IFERROR(='입력데이터'!AF66,0)/IFERROR(='입력데이터'!AL66,0),0)*4</x:f>
        <x:v>0</x:v>
      </x:c>
      <x:c r="AO66" s="15" t="n">
        <x:f>IFERROR(='입력데이터'!AG66,0)*12+IFERROR(='입력데이터'!AU66,0)*6</x:f>
        <x:v>0</x:v>
      </x:c>
      <x:c r="AP66" s="15" t="n">
        <x:f>IFERROR(='입력데이터'!AH66,0)*14+IFERROR(='입력데이터'!AD66,0)</x:f>
        <x:v>0</x:v>
      </x:c>
      <x:c r="AQ66" s="15" t="n">
        <x:f>IFERROR(='입력데이터'!AC66,0)*10</x:f>
        <x:v>0</x:v>
      </x:c>
      <x:c r="AR66" s="15" t="n">
        <x:f>IFERROR(='입력데이터'!AD66,0)*7+IFERROR(='입력데이터'!AH66,0)*2</x:f>
        <x:v>0</x:v>
      </x:c>
      <x:c r="AS66" s="15" t="n">
        <x:f>IFERROR(='입력데이터'!AH66,0)*8+IFERROR(='입력데이터'!AD66,0)*2+IFERROR(='입력데이터'!AI66,0)*4</x:f>
        <x:v>0</x:v>
      </x:c>
      <x:c r="AT66" s="16" t="n">
        <x:f>IFERROR(='입력데이터'!AG66,0)*8+IFERROR(='입력데이터'!AI66,0)*5+IFERROR(='입력데이터'!AU66,0)*4</x:f>
        <x:v>0</x:v>
      </x:c>
    </x:row>
    <x:row r="67">
      <x:c r="A67" s="14" t="str">
        <x:f>IF('입력데이터'!$B67="","",'입력데이터'!A67)</x:f>
      </x:c>
      <x:c r="B67" s="15" t="str">
        <x:f>IF('입력데이터'!$B67="","",'입력데이터'!B67)</x:f>
      </x:c>
      <x:c r="C67" s="15" t="str">
        <x:f>IF('입력데이터'!$B67="","",'입력데이터'!K67)</x:f>
      </x:c>
      <x:c r="D67" s="15" t="str">
        <x:f>IF('입력데이터'!$B67="","",'입력데이터'!H67)</x:f>
      </x:c>
      <x:c r="E67" s="15" t="str">
        <x:f>IF('입력데이터'!$B67="","",'입력데이터'!I67)</x:f>
      </x:c>
      <x:c r="F67" s="15" t="str">
        <x:f>IF('입력데이터'!$B67="","",'입력데이터'!J67)</x:f>
      </x:c>
      <x:c r="G67" s="15" t="str">
        <x:f>IF('입력데이터'!$B67="","",'입력데이터'!L67)</x:f>
      </x:c>
      <x:c r="H67" s="15" t="str">
        <x:f>IF('입력데이터'!$B67="","",'입력데이터'!O67)</x:f>
      </x:c>
      <x:c r="I67" s="20" t="str">
        <x:f>IF($B67="", "", ROUND(MAX(30, MIN(99, IFERROR((AE67-MIN($AE$2:$AE$101))/(MAX($AE$2:$AE$101)-MIN($AE$2:$AE$101))*99,30))),0))</x:f>
      </x:c>
      <x:c r="J67" s="20" t="str">
        <x:f>IF($B67="", "", ROUND(MAX(30, MIN(99, IFERROR((AF67-MIN($AF$2:$AF$101))/(MAX($AF$2:$AF$101)-MIN($AF$2:$AF$101))*99,30))),0))</x:f>
      </x:c>
      <x:c r="K67" s="20" t="str">
        <x:f>IF($B67="", "", ROUND(MAX(30, MIN(99, IFERROR((AG67-MIN($AG$2:$AG$101))/(MAX($AG$2:$AG$101)-MIN($AG$2:$AG$101))*99,30))),0))</x:f>
      </x:c>
      <x:c r="L67" s="20" t="str">
        <x:f>IF($B67="", "", ROUND(MAX(30, MIN(99, IFERROR((AH67-MIN($AH$2:$AH$101))/(MAX($AH$2:$AH$101)-MIN($AH$2:$AH$101))*99,30))),0))</x:f>
      </x:c>
      <x:c r="M67" s="20" t="str">
        <x:f>IF($B67="", "", ROUND(MAX(30, MIN(99, IFERROR((AI67-MIN($AI$2:$AI$101))/(MAX($AI$2:$AI$101)-MIN($AI$2:$AI$101))*99,30))),0))</x:f>
      </x:c>
      <x:c r="N67" s="20" t="str">
        <x:f>IF($B67="", "", ROUND(MAX(30, MIN(99, IFERROR((AJ67-MIN($AJ$2:$AJ$101))/(MAX($AJ$2:$AJ$101)-MIN($AJ$2:$AJ$101))*99,30))),0))</x:f>
      </x:c>
      <x:c r="O67" s="20" t="str">
        <x:f>IF($B67="", "", ROUND(MAX(30, MIN(99, IFERROR((AK67-MIN($AK$2:$AK$101))/(MAX($AK$2:$AK$101)-MIN($AK$2:$AK$101))*99,30))),0))</x:f>
      </x:c>
      <x:c r="P67" s="20" t="str">
        <x:f>IF($B67="", "", ROUND(MAX(30, MIN(99, IFERROR((AL67-MIN($AL$2:$AL$101))/(MAX($AL$2:$AL$101)-MIN($AL$2:$AL$101))*99,30))),0))</x:f>
      </x:c>
      <x:c r="Q67" s="20" t="str">
        <x:f>IF($B67="", "", ROUND(MAX(30, MIN(99, IFERROR((AM67-MIN($AM$2:$AM$101))/(MAX($AM$2:$AM$101)-MIN($AM$2:$AM$101))*99,30))),0))</x:f>
      </x:c>
      <x:c r="R67" s="20" t="str">
        <x:f>IF($B67="", "", ROUND(MAX(30, MIN(99, IFERROR((AN67-MIN($AN$2:$AN$101))/(MAX($AN$2:$AN$101)-MIN($AN$2:$AN$101))*99,30))),0))</x:f>
      </x:c>
      <x:c r="S67" s="20" t="str">
        <x:f>IF($B67="", "", ROUND(MAX(30, MIN(99, IFERROR((AO67-MIN($AO$2:$AO$101))/(MAX($AO$2:$AO$101)-MIN($AO$2:$AO$101))*99,30))),0))</x:f>
      </x:c>
      <x:c r="T67" s="20" t="str">
        <x:f>IF($B67="", "", ROUND(MAX(30, MIN(99, IFERROR((AP67-MIN($AP$2:$AP$101))/(MAX($AP$2:$AP$101)-MIN($AP$2:$AP$101))*99,30))),0))</x:f>
      </x:c>
      <x:c r="U67" s="20" t="str">
        <x:f>IF($B67="", "", ROUND(MAX(30, MIN(99, IFERROR((AQ67-MIN($AQ$2:$AQ$101))/(MAX($AQ$2:$AQ$101)-MIN($AQ$2:$AQ$101))*99,30))),0))</x:f>
      </x:c>
      <x:c r="V67" s="20" t="str">
        <x:f>IF($B67="", "", ROUND(MAX(30, MIN(99, IFERROR((AR67-MIN($AR$2:$AR$101))/(MAX($AR$2:$AR$101)-MIN($AR$2:$AR$101))*99,30))),0))</x:f>
      </x:c>
      <x:c r="W67" s="20" t="str">
        <x:f>IF($B67="", "", ROUND(MAX(30, MIN(99, IFERROR((AS67-MIN($AS$2:$AS$101))/(MAX($AS$2:$AS$101)-MIN($AS$2:$AS$101))*99,30))),0))</x:f>
      </x:c>
      <x:c r="X67" s="20" t="str">
        <x:f>IF($B67="", "", ROUND(MAX(30, MIN(99, IFERROR((AT67-MIN($AT$2:$AT$101))/(MAX($AT$2:$AT$101)-MIN($AT$2:$AT$101))*99,30))),0))</x:f>
      </x:c>
      <x:c r="Y67" s="20" t="str">
        <x:f>IF($B67="","",ROUND(AVERAGE(I67:X67),0))</x:f>
      </x:c>
      <x:c r="Z67" s="20" t="str">
        <x:f>IF($B67="","",ROUND(MAX(30,MIN(99,IFS(ISNUMBER(SEARCH("PG",UPPER(SUBSTITUTE($C67,"/","-")))),84,ISNUMBER(SEARCH("SG",UPPER(SUBSTITUTE($C67,"/","-")))),76,ISNUMBER(SEARCH("SF",UPPER(SUBSTITUTE($C67,"/","-")))),68,ISNUMBER(SEARCH("PF",UPPER(SUBSTITUTE($C67,"/","-")))),55,ISNUMBER(SEARCH("C",UPPER(SUBSTITUTE($C67,"/","-")))),42,TRUE,65)+((195-IFERROR($D67,195))*0.15)+((95-IFERROR($E67,95))*0.08))),0))</x:f>
      </x:c>
      <x:c r="AA67" s="20" t="str">
        <x:f>IF($B67="","",ROUND(MAX(30,MIN(99,IFS(ISNUMBER(SEARCH("PG",UPPER(SUBSTITUTE($C67,"/","-")))),84,ISNUMBER(SEARCH("SG",UPPER(SUBSTITUTE($C67,"/","-")))),76,ISNUMBER(SEARCH("SF",UPPER(SUBSTITUTE($C67,"/","-")))),68,ISNUMBER(SEARCH("PF",UPPER(SUBSTITUTE($C67,"/","-")))),55,ISNUMBER(SEARCH("C",UPPER(SUBSTITUTE($C67,"/","-")))),42,TRUE,65)+((195-IFERROR($D67,195))*0.18)+((95-IFERROR($E67,95))*0.10))),0))</x:f>
      </x:c>
      <x:c r="AB67" s="20" t="str">
        <x:f>IF($B67="","",ROUND(MAX(30,MIN(99,IFS(ISNUMBER(SEARCH("PG",UPPER(SUBSTITUTE($C67,"/","-")))),84,ISNUMBER(SEARCH("SG",UPPER(SUBSTITUTE($C67,"/","-")))),76,ISNUMBER(SEARCH("SF",UPPER(SUBSTITUTE($C67,"/","-")))),68,ISNUMBER(SEARCH("PF",UPPER(SUBSTITUTE($C67,"/","-")))),55,ISNUMBER(SEARCH("C",UPPER(SUBSTITUTE($C67,"/","-")))),42,TRUE,65)+2+((195-IFERROR($D67,195))*0.14)+((95-IFERROR($E67,95))*0.09))),0))</x:f>
      </x:c>
      <x:c r="AC67" s="20" t="str">
        <x:f>IF($B67="","",ROUND(MAX(30,MIN(99,IFS(ISNUMBER(SEARCH("C",UPPER(SUBSTITUTE($C67,"/","-")))),92,ISNUMBER(SEARCH("PF",UPPER(SUBSTITUTE($C67,"/","-")))),82,ISNUMBER(SEARCH("SF",UPPER(SUBSTITUTE($C67,"/","-")))),64,ISNUMBER(SEARCH("SG",UPPER(SUBSTITUTE($C67,"/","-")))),48,ISNUMBER(SEARCH("PG",UPPER(SUBSTITUTE($C67,"/","-")))),36,TRUE,60)+((IFERROR($E67,95)-95)*0.45)+((IFERROR($D67,195)-195)*0.10)+((IFERROR($F67,200)-200)*0.08))),0))</x:f>
      </x:c>
      <x:c r="AD67" s="20" t="str">
        <x:f>IF($B67="","",ROUND(MAX(30,MIN(99,65+((IFERROR($F67,200)-200)*0.22)+((IFERROR($D67,195)-195)*0.08)-((IFERROR($E67,95)-95)*0.07))),0))</x:f>
      </x:c>
      <x:c r="AE67" s="15" t="n">
        <x:f>IFERROR(='입력데이터'!S67,0)*0.4+IFERROR(='입력데이터'!AP67,0)*0.4+IFERROR(='입력데이터'!AO67,0)*0.5</x:f>
        <x:v>0</x:v>
      </x:c>
      <x:c r="AF67" s="15" t="n">
        <x:f>IFERROR(='입력데이터'!S67,0)*0.5+IFERROR(='입력데이터'!P67,0)*0.8+IFERROR(='입력데이터'!AG67,0)</x:f>
        <x:v>0</x:v>
      </x:c>
      <x:c r="AG67" s="15" t="n">
        <x:f>IFERROR(='입력데이터'!AJ67,0)*8+IFERROR(IFERROR(='입력데이터'!AJ67,0)/IFERROR(='입력데이터'!AK67,0),0)*30</x:f>
        <x:v>0</x:v>
      </x:c>
      <x:c r="AH67" s="15" t="n">
        <x:f>IFERROR(='입력데이터'!AJ67,0)*6+IFERROR(='입력데이터'!AH67,0)*4</x:f>
        <x:v>0</x:v>
      </x:c>
      <x:c r="AI67" s="15" t="n">
        <x:f>IFERROR(='입력데이터'!AP67,0)*0.4+IFERROR(='입력데이터'!AE67,0)*1.5+IFERROR(='입력데이터'!Q67,0)*1.5</x:f>
        <x:v>0</x:v>
      </x:c>
      <x:c r="AJ67" s="15" t="n">
        <x:f>MAX(0,IFERROR(='입력데이터'!P67,0)-IFERROR(='입력데이터'!Q67,0)*2-IFERROR(='입력데이터'!T67,0)*3-IFERROR(='입력데이터'!Z67,0))*1.5+IFERROR(='입력데이터'!Y67,0)*0.3</x:f>
        <x:v>0</x:v>
      </x:c>
      <x:c r="AK67" s="15" t="n">
        <x:f>IFERROR(='입력데이터'!V67,0)*0.6+IFERROR(='입력데이터'!U67,0)*2+IFERROR(='입력데이터'!T67,0)*3</x:f>
        <x:v>0</x:v>
      </x:c>
      <x:c r="AL67" s="15" t="n">
        <x:f>IFERROR(='입력데이터'!AB67,0)*0.7+IFERROR(='입력데이터'!AA67,0)*1.5</x:f>
        <x:v>0</x:v>
      </x:c>
      <x:c r="AM67" s="15" t="n">
        <x:f>IFERROR(='입력데이터'!AF67,0)*5+IFERROR(IFERROR(='입력데이터'!AF67,0)/IFERROR(='입력데이터'!AL67,0),0)*3+IFERROR(='입력데이터'!AT67,0)</x:f>
        <x:v>0</x:v>
      </x:c>
      <x:c r="AN67" s="15" t="n">
        <x:f>IFERROR(='입력데이터'!AF67,0)*3+IFERROR(='입력데이터'!AG67,0)*3+IFERROR(IFERROR(='입력데이터'!AF67,0)/IFERROR(='입력데이터'!AL67,0),0)*4</x:f>
        <x:v>0</x:v>
      </x:c>
      <x:c r="AO67" s="15" t="n">
        <x:f>IFERROR(='입력데이터'!AG67,0)*12+IFERROR(='입력데이터'!AU67,0)*6</x:f>
        <x:v>0</x:v>
      </x:c>
      <x:c r="AP67" s="15" t="n">
        <x:f>IFERROR(='입력데이터'!AH67,0)*14+IFERROR(='입력데이터'!AD67,0)</x:f>
        <x:v>0</x:v>
      </x:c>
      <x:c r="AQ67" s="15" t="n">
        <x:f>IFERROR(='입력데이터'!AC67,0)*10</x:f>
        <x:v>0</x:v>
      </x:c>
      <x:c r="AR67" s="15" t="n">
        <x:f>IFERROR(='입력데이터'!AD67,0)*7+IFERROR(='입력데이터'!AH67,0)*2</x:f>
        <x:v>0</x:v>
      </x:c>
      <x:c r="AS67" s="15" t="n">
        <x:f>IFERROR(='입력데이터'!AH67,0)*8+IFERROR(='입력데이터'!AD67,0)*2+IFERROR(='입력데이터'!AI67,0)*4</x:f>
        <x:v>0</x:v>
      </x:c>
      <x:c r="AT67" s="16" t="n">
        <x:f>IFERROR(='입력데이터'!AG67,0)*8+IFERROR(='입력데이터'!AI67,0)*5+IFERROR(='입력데이터'!AU67,0)*4</x:f>
        <x:v>0</x:v>
      </x:c>
    </x:row>
    <x:row r="68">
      <x:c r="A68" s="14" t="str">
        <x:f>IF('입력데이터'!$B68="","",'입력데이터'!A68)</x:f>
      </x:c>
      <x:c r="B68" s="15" t="str">
        <x:f>IF('입력데이터'!$B68="","",'입력데이터'!B68)</x:f>
      </x:c>
      <x:c r="C68" s="15" t="str">
        <x:f>IF('입력데이터'!$B68="","",'입력데이터'!K68)</x:f>
      </x:c>
      <x:c r="D68" s="15" t="str">
        <x:f>IF('입력데이터'!$B68="","",'입력데이터'!H68)</x:f>
      </x:c>
      <x:c r="E68" s="15" t="str">
        <x:f>IF('입력데이터'!$B68="","",'입력데이터'!I68)</x:f>
      </x:c>
      <x:c r="F68" s="15" t="str">
        <x:f>IF('입력데이터'!$B68="","",'입력데이터'!J68)</x:f>
      </x:c>
      <x:c r="G68" s="15" t="str">
        <x:f>IF('입력데이터'!$B68="","",'입력데이터'!L68)</x:f>
      </x:c>
      <x:c r="H68" s="15" t="str">
        <x:f>IF('입력데이터'!$B68="","",'입력데이터'!O68)</x:f>
      </x:c>
      <x:c r="I68" s="20" t="str">
        <x:f>IF($B68="", "", ROUND(MAX(30, MIN(99, IFERROR((AE68-MIN($AE$2:$AE$101))/(MAX($AE$2:$AE$101)-MIN($AE$2:$AE$101))*99,30))),0))</x:f>
      </x:c>
      <x:c r="J68" s="20" t="str">
        <x:f>IF($B68="", "", ROUND(MAX(30, MIN(99, IFERROR((AF68-MIN($AF$2:$AF$101))/(MAX($AF$2:$AF$101)-MIN($AF$2:$AF$101))*99,30))),0))</x:f>
      </x:c>
      <x:c r="K68" s="20" t="str">
        <x:f>IF($B68="", "", ROUND(MAX(30, MIN(99, IFERROR((AG68-MIN($AG$2:$AG$101))/(MAX($AG$2:$AG$101)-MIN($AG$2:$AG$101))*99,30))),0))</x:f>
      </x:c>
      <x:c r="L68" s="20" t="str">
        <x:f>IF($B68="", "", ROUND(MAX(30, MIN(99, IFERROR((AH68-MIN($AH$2:$AH$101))/(MAX($AH$2:$AH$101)-MIN($AH$2:$AH$101))*99,30))),0))</x:f>
      </x:c>
      <x:c r="M68" s="20" t="str">
        <x:f>IF($B68="", "", ROUND(MAX(30, MIN(99, IFERROR((AI68-MIN($AI$2:$AI$101))/(MAX($AI$2:$AI$101)-MIN($AI$2:$AI$101))*99,30))),0))</x:f>
      </x:c>
      <x:c r="N68" s="20" t="str">
        <x:f>IF($B68="", "", ROUND(MAX(30, MIN(99, IFERROR((AJ68-MIN($AJ$2:$AJ$101))/(MAX($AJ$2:$AJ$101)-MIN($AJ$2:$AJ$101))*99,30))),0))</x:f>
      </x:c>
      <x:c r="O68" s="20" t="str">
        <x:f>IF($B68="", "", ROUND(MAX(30, MIN(99, IFERROR((AK68-MIN($AK$2:$AK$101))/(MAX($AK$2:$AK$101)-MIN($AK$2:$AK$101))*99,30))),0))</x:f>
      </x:c>
      <x:c r="P68" s="20" t="str">
        <x:f>IF($B68="", "", ROUND(MAX(30, MIN(99, IFERROR((AL68-MIN($AL$2:$AL$101))/(MAX($AL$2:$AL$101)-MIN($AL$2:$AL$101))*99,30))),0))</x:f>
      </x:c>
      <x:c r="Q68" s="20" t="str">
        <x:f>IF($B68="", "", ROUND(MAX(30, MIN(99, IFERROR((AM68-MIN($AM$2:$AM$101))/(MAX($AM$2:$AM$101)-MIN($AM$2:$AM$101))*99,30))),0))</x:f>
      </x:c>
      <x:c r="R68" s="20" t="str">
        <x:f>IF($B68="", "", ROUND(MAX(30, MIN(99, IFERROR((AN68-MIN($AN$2:$AN$101))/(MAX($AN$2:$AN$101)-MIN($AN$2:$AN$101))*99,30))),0))</x:f>
      </x:c>
      <x:c r="S68" s="20" t="str">
        <x:f>IF($B68="", "", ROUND(MAX(30, MIN(99, IFERROR((AO68-MIN($AO$2:$AO$101))/(MAX($AO$2:$AO$101)-MIN($AO$2:$AO$101))*99,30))),0))</x:f>
      </x:c>
      <x:c r="T68" s="20" t="str">
        <x:f>IF($B68="", "", ROUND(MAX(30, MIN(99, IFERROR((AP68-MIN($AP$2:$AP$101))/(MAX($AP$2:$AP$101)-MIN($AP$2:$AP$101))*99,30))),0))</x:f>
      </x:c>
      <x:c r="U68" s="20" t="str">
        <x:f>IF($B68="", "", ROUND(MAX(30, MIN(99, IFERROR((AQ68-MIN($AQ$2:$AQ$101))/(MAX($AQ$2:$AQ$101)-MIN($AQ$2:$AQ$101))*99,30))),0))</x:f>
      </x:c>
      <x:c r="V68" s="20" t="str">
        <x:f>IF($B68="", "", ROUND(MAX(30, MIN(99, IFERROR((AR68-MIN($AR$2:$AR$101))/(MAX($AR$2:$AR$101)-MIN($AR$2:$AR$101))*99,30))),0))</x:f>
      </x:c>
      <x:c r="W68" s="20" t="str">
        <x:f>IF($B68="", "", ROUND(MAX(30, MIN(99, IFERROR((AS68-MIN($AS$2:$AS$101))/(MAX($AS$2:$AS$101)-MIN($AS$2:$AS$101))*99,30))),0))</x:f>
      </x:c>
      <x:c r="X68" s="20" t="str">
        <x:f>IF($B68="", "", ROUND(MAX(30, MIN(99, IFERROR((AT68-MIN($AT$2:$AT$101))/(MAX($AT$2:$AT$101)-MIN($AT$2:$AT$101))*99,30))),0))</x:f>
      </x:c>
      <x:c r="Y68" s="20" t="str">
        <x:f>IF($B68="","",ROUND(AVERAGE(I68:X68),0))</x:f>
      </x:c>
      <x:c r="Z68" s="20" t="str">
        <x:f>IF($B68="","",ROUND(MAX(30,MIN(99,IFS(ISNUMBER(SEARCH("PG",UPPER(SUBSTITUTE($C68,"/","-")))),84,ISNUMBER(SEARCH("SG",UPPER(SUBSTITUTE($C68,"/","-")))),76,ISNUMBER(SEARCH("SF",UPPER(SUBSTITUTE($C68,"/","-")))),68,ISNUMBER(SEARCH("PF",UPPER(SUBSTITUTE($C68,"/","-")))),55,ISNUMBER(SEARCH("C",UPPER(SUBSTITUTE($C68,"/","-")))),42,TRUE,65)+((195-IFERROR($D68,195))*0.15)+((95-IFERROR($E68,95))*0.08))),0))</x:f>
      </x:c>
      <x:c r="AA68" s="20" t="str">
        <x:f>IF($B68="","",ROUND(MAX(30,MIN(99,IFS(ISNUMBER(SEARCH("PG",UPPER(SUBSTITUTE($C68,"/","-")))),84,ISNUMBER(SEARCH("SG",UPPER(SUBSTITUTE($C68,"/","-")))),76,ISNUMBER(SEARCH("SF",UPPER(SUBSTITUTE($C68,"/","-")))),68,ISNUMBER(SEARCH("PF",UPPER(SUBSTITUTE($C68,"/","-")))),55,ISNUMBER(SEARCH("C",UPPER(SUBSTITUTE($C68,"/","-")))),42,TRUE,65)+((195-IFERROR($D68,195))*0.18)+((95-IFERROR($E68,95))*0.10))),0))</x:f>
      </x:c>
      <x:c r="AB68" s="20" t="str">
        <x:f>IF($B68="","",ROUND(MAX(30,MIN(99,IFS(ISNUMBER(SEARCH("PG",UPPER(SUBSTITUTE($C68,"/","-")))),84,ISNUMBER(SEARCH("SG",UPPER(SUBSTITUTE($C68,"/","-")))),76,ISNUMBER(SEARCH("SF",UPPER(SUBSTITUTE($C68,"/","-")))),68,ISNUMBER(SEARCH("PF",UPPER(SUBSTITUTE($C68,"/","-")))),55,ISNUMBER(SEARCH("C",UPPER(SUBSTITUTE($C68,"/","-")))),42,TRUE,65)+2+((195-IFERROR($D68,195))*0.14)+((95-IFERROR($E68,95))*0.09))),0))</x:f>
      </x:c>
      <x:c r="AC68" s="20" t="str">
        <x:f>IF($B68="","",ROUND(MAX(30,MIN(99,IFS(ISNUMBER(SEARCH("C",UPPER(SUBSTITUTE($C68,"/","-")))),92,ISNUMBER(SEARCH("PF",UPPER(SUBSTITUTE($C68,"/","-")))),82,ISNUMBER(SEARCH("SF",UPPER(SUBSTITUTE($C68,"/","-")))),64,ISNUMBER(SEARCH("SG",UPPER(SUBSTITUTE($C68,"/","-")))),48,ISNUMBER(SEARCH("PG",UPPER(SUBSTITUTE($C68,"/","-")))),36,TRUE,60)+((IFERROR($E68,95)-95)*0.45)+((IFERROR($D68,195)-195)*0.10)+((IFERROR($F68,200)-200)*0.08))),0))</x:f>
      </x:c>
      <x:c r="AD68" s="20" t="str">
        <x:f>IF($B68="","",ROUND(MAX(30,MIN(99,65+((IFERROR($F68,200)-200)*0.22)+((IFERROR($D68,195)-195)*0.08)-((IFERROR($E68,95)-95)*0.07))),0))</x:f>
      </x:c>
      <x:c r="AE68" s="15" t="n">
        <x:f>IFERROR(='입력데이터'!S68,0)*0.4+IFERROR(='입력데이터'!AP68,0)*0.4+IFERROR(='입력데이터'!AO68,0)*0.5</x:f>
        <x:v>0</x:v>
      </x:c>
      <x:c r="AF68" s="15" t="n">
        <x:f>IFERROR(='입력데이터'!S68,0)*0.5+IFERROR(='입력데이터'!P68,0)*0.8+IFERROR(='입력데이터'!AG68,0)</x:f>
        <x:v>0</x:v>
      </x:c>
      <x:c r="AG68" s="15" t="n">
        <x:f>IFERROR(='입력데이터'!AJ68,0)*8+IFERROR(IFERROR(='입력데이터'!AJ68,0)/IFERROR(='입력데이터'!AK68,0),0)*30</x:f>
        <x:v>0</x:v>
      </x:c>
      <x:c r="AH68" s="15" t="n">
        <x:f>IFERROR(='입력데이터'!AJ68,0)*6+IFERROR(='입력데이터'!AH68,0)*4</x:f>
        <x:v>0</x:v>
      </x:c>
      <x:c r="AI68" s="15" t="n">
        <x:f>IFERROR(='입력데이터'!AP68,0)*0.4+IFERROR(='입력데이터'!AE68,0)*1.5+IFERROR(='입력데이터'!Q68,0)*1.5</x:f>
        <x:v>0</x:v>
      </x:c>
      <x:c r="AJ68" s="15" t="n">
        <x:f>MAX(0,IFERROR(='입력데이터'!P68,0)-IFERROR(='입력데이터'!Q68,0)*2-IFERROR(='입력데이터'!T68,0)*3-IFERROR(='입력데이터'!Z68,0))*1.5+IFERROR(='입력데이터'!Y68,0)*0.3</x:f>
        <x:v>0</x:v>
      </x:c>
      <x:c r="AK68" s="15" t="n">
        <x:f>IFERROR(='입력데이터'!V68,0)*0.6+IFERROR(='입력데이터'!U68,0)*2+IFERROR(='입력데이터'!T68,0)*3</x:f>
        <x:v>0</x:v>
      </x:c>
      <x:c r="AL68" s="15" t="n">
        <x:f>IFERROR(='입력데이터'!AB68,0)*0.7+IFERROR(='입력데이터'!AA68,0)*1.5</x:f>
        <x:v>0</x:v>
      </x:c>
      <x:c r="AM68" s="15" t="n">
        <x:f>IFERROR(='입력데이터'!AF68,0)*5+IFERROR(IFERROR(='입력데이터'!AF68,0)/IFERROR(='입력데이터'!AL68,0),0)*3+IFERROR(='입력데이터'!AT68,0)</x:f>
        <x:v>0</x:v>
      </x:c>
      <x:c r="AN68" s="15" t="n">
        <x:f>IFERROR(='입력데이터'!AF68,0)*3+IFERROR(='입력데이터'!AG68,0)*3+IFERROR(IFERROR(='입력데이터'!AF68,0)/IFERROR(='입력데이터'!AL68,0),0)*4</x:f>
        <x:v>0</x:v>
      </x:c>
      <x:c r="AO68" s="15" t="n">
        <x:f>IFERROR(='입력데이터'!AG68,0)*12+IFERROR(='입력데이터'!AU68,0)*6</x:f>
        <x:v>0</x:v>
      </x:c>
      <x:c r="AP68" s="15" t="n">
        <x:f>IFERROR(='입력데이터'!AH68,0)*14+IFERROR(='입력데이터'!AD68,0)</x:f>
        <x:v>0</x:v>
      </x:c>
      <x:c r="AQ68" s="15" t="n">
        <x:f>IFERROR(='입력데이터'!AC68,0)*10</x:f>
        <x:v>0</x:v>
      </x:c>
      <x:c r="AR68" s="15" t="n">
        <x:f>IFERROR(='입력데이터'!AD68,0)*7+IFERROR(='입력데이터'!AH68,0)*2</x:f>
        <x:v>0</x:v>
      </x:c>
      <x:c r="AS68" s="15" t="n">
        <x:f>IFERROR(='입력데이터'!AH68,0)*8+IFERROR(='입력데이터'!AD68,0)*2+IFERROR(='입력데이터'!AI68,0)*4</x:f>
        <x:v>0</x:v>
      </x:c>
      <x:c r="AT68" s="16" t="n">
        <x:f>IFERROR(='입력데이터'!AG68,0)*8+IFERROR(='입력데이터'!AI68,0)*5+IFERROR(='입력데이터'!AU68,0)*4</x:f>
        <x:v>0</x:v>
      </x:c>
    </x:row>
    <x:row r="69">
      <x:c r="A69" s="14" t="str">
        <x:f>IF('입력데이터'!$B69="","",'입력데이터'!A69)</x:f>
      </x:c>
      <x:c r="B69" s="15" t="str">
        <x:f>IF('입력데이터'!$B69="","",'입력데이터'!B69)</x:f>
      </x:c>
      <x:c r="C69" s="15" t="str">
        <x:f>IF('입력데이터'!$B69="","",'입력데이터'!K69)</x:f>
      </x:c>
      <x:c r="D69" s="15" t="str">
        <x:f>IF('입력데이터'!$B69="","",'입력데이터'!H69)</x:f>
      </x:c>
      <x:c r="E69" s="15" t="str">
        <x:f>IF('입력데이터'!$B69="","",'입력데이터'!I69)</x:f>
      </x:c>
      <x:c r="F69" s="15" t="str">
        <x:f>IF('입력데이터'!$B69="","",'입력데이터'!J69)</x:f>
      </x:c>
      <x:c r="G69" s="15" t="str">
        <x:f>IF('입력데이터'!$B69="","",'입력데이터'!L69)</x:f>
      </x:c>
      <x:c r="H69" s="15" t="str">
        <x:f>IF('입력데이터'!$B69="","",'입력데이터'!O69)</x:f>
      </x:c>
      <x:c r="I69" s="20" t="str">
        <x:f>IF($B69="", "", ROUND(MAX(30, MIN(99, IFERROR((AE69-MIN($AE$2:$AE$101))/(MAX($AE$2:$AE$101)-MIN($AE$2:$AE$101))*99,30))),0))</x:f>
      </x:c>
      <x:c r="J69" s="20" t="str">
        <x:f>IF($B69="", "", ROUND(MAX(30, MIN(99, IFERROR((AF69-MIN($AF$2:$AF$101))/(MAX($AF$2:$AF$101)-MIN($AF$2:$AF$101))*99,30))),0))</x:f>
      </x:c>
      <x:c r="K69" s="20" t="str">
        <x:f>IF($B69="", "", ROUND(MAX(30, MIN(99, IFERROR((AG69-MIN($AG$2:$AG$101))/(MAX($AG$2:$AG$101)-MIN($AG$2:$AG$101))*99,30))),0))</x:f>
      </x:c>
      <x:c r="L69" s="20" t="str">
        <x:f>IF($B69="", "", ROUND(MAX(30, MIN(99, IFERROR((AH69-MIN($AH$2:$AH$101))/(MAX($AH$2:$AH$101)-MIN($AH$2:$AH$101))*99,30))),0))</x:f>
      </x:c>
      <x:c r="M69" s="20" t="str">
        <x:f>IF($B69="", "", ROUND(MAX(30, MIN(99, IFERROR((AI69-MIN($AI$2:$AI$101))/(MAX($AI$2:$AI$101)-MIN($AI$2:$AI$101))*99,30))),0))</x:f>
      </x:c>
      <x:c r="N69" s="20" t="str">
        <x:f>IF($B69="", "", ROUND(MAX(30, MIN(99, IFERROR((AJ69-MIN($AJ$2:$AJ$101))/(MAX($AJ$2:$AJ$101)-MIN($AJ$2:$AJ$101))*99,30))),0))</x:f>
      </x:c>
      <x:c r="O69" s="20" t="str">
        <x:f>IF($B69="", "", ROUND(MAX(30, MIN(99, IFERROR((AK69-MIN($AK$2:$AK$101))/(MAX($AK$2:$AK$101)-MIN($AK$2:$AK$101))*99,30))),0))</x:f>
      </x:c>
      <x:c r="P69" s="20" t="str">
        <x:f>IF($B69="", "", ROUND(MAX(30, MIN(99, IFERROR((AL69-MIN($AL$2:$AL$101))/(MAX($AL$2:$AL$101)-MIN($AL$2:$AL$101))*99,30))),0))</x:f>
      </x:c>
      <x:c r="Q69" s="20" t="str">
        <x:f>IF($B69="", "", ROUND(MAX(30, MIN(99, IFERROR((AM69-MIN($AM$2:$AM$101))/(MAX($AM$2:$AM$101)-MIN($AM$2:$AM$101))*99,30))),0))</x:f>
      </x:c>
      <x:c r="R69" s="20" t="str">
        <x:f>IF($B69="", "", ROUND(MAX(30, MIN(99, IFERROR((AN69-MIN($AN$2:$AN$101))/(MAX($AN$2:$AN$101)-MIN($AN$2:$AN$101))*99,30))),0))</x:f>
      </x:c>
      <x:c r="S69" s="20" t="str">
        <x:f>IF($B69="", "", ROUND(MAX(30, MIN(99, IFERROR((AO69-MIN($AO$2:$AO$101))/(MAX($AO$2:$AO$101)-MIN($AO$2:$AO$101))*99,30))),0))</x:f>
      </x:c>
      <x:c r="T69" s="20" t="str">
        <x:f>IF($B69="", "", ROUND(MAX(30, MIN(99, IFERROR((AP69-MIN($AP$2:$AP$101))/(MAX($AP$2:$AP$101)-MIN($AP$2:$AP$101))*99,30))),0))</x:f>
      </x:c>
      <x:c r="U69" s="20" t="str">
        <x:f>IF($B69="", "", ROUND(MAX(30, MIN(99, IFERROR((AQ69-MIN($AQ$2:$AQ$101))/(MAX($AQ$2:$AQ$101)-MIN($AQ$2:$AQ$101))*99,30))),0))</x:f>
      </x:c>
      <x:c r="V69" s="20" t="str">
        <x:f>IF($B69="", "", ROUND(MAX(30, MIN(99, IFERROR((AR69-MIN($AR$2:$AR$101))/(MAX($AR$2:$AR$101)-MIN($AR$2:$AR$101))*99,30))),0))</x:f>
      </x:c>
      <x:c r="W69" s="20" t="str">
        <x:f>IF($B69="", "", ROUND(MAX(30, MIN(99, IFERROR((AS69-MIN($AS$2:$AS$101))/(MAX($AS$2:$AS$101)-MIN($AS$2:$AS$101))*99,30))),0))</x:f>
      </x:c>
      <x:c r="X69" s="20" t="str">
        <x:f>IF($B69="", "", ROUND(MAX(30, MIN(99, IFERROR((AT69-MIN($AT$2:$AT$101))/(MAX($AT$2:$AT$101)-MIN($AT$2:$AT$101))*99,30))),0))</x:f>
      </x:c>
      <x:c r="Y69" s="20" t="str">
        <x:f>IF($B69="","",ROUND(AVERAGE(I69:X69),0))</x:f>
      </x:c>
      <x:c r="Z69" s="20" t="str">
        <x:f>IF($B69="","",ROUND(MAX(30,MIN(99,IFS(ISNUMBER(SEARCH("PG",UPPER(SUBSTITUTE($C69,"/","-")))),84,ISNUMBER(SEARCH("SG",UPPER(SUBSTITUTE($C69,"/","-")))),76,ISNUMBER(SEARCH("SF",UPPER(SUBSTITUTE($C69,"/","-")))),68,ISNUMBER(SEARCH("PF",UPPER(SUBSTITUTE($C69,"/","-")))),55,ISNUMBER(SEARCH("C",UPPER(SUBSTITUTE($C69,"/","-")))),42,TRUE,65)+((195-IFERROR($D69,195))*0.15)+((95-IFERROR($E69,95))*0.08))),0))</x:f>
      </x:c>
      <x:c r="AA69" s="20" t="str">
        <x:f>IF($B69="","",ROUND(MAX(30,MIN(99,IFS(ISNUMBER(SEARCH("PG",UPPER(SUBSTITUTE($C69,"/","-")))),84,ISNUMBER(SEARCH("SG",UPPER(SUBSTITUTE($C69,"/","-")))),76,ISNUMBER(SEARCH("SF",UPPER(SUBSTITUTE($C69,"/","-")))),68,ISNUMBER(SEARCH("PF",UPPER(SUBSTITUTE($C69,"/","-")))),55,ISNUMBER(SEARCH("C",UPPER(SUBSTITUTE($C69,"/","-")))),42,TRUE,65)+((195-IFERROR($D69,195))*0.18)+((95-IFERROR($E69,95))*0.10))),0))</x:f>
      </x:c>
      <x:c r="AB69" s="20" t="str">
        <x:f>IF($B69="","",ROUND(MAX(30,MIN(99,IFS(ISNUMBER(SEARCH("PG",UPPER(SUBSTITUTE($C69,"/","-")))),84,ISNUMBER(SEARCH("SG",UPPER(SUBSTITUTE($C69,"/","-")))),76,ISNUMBER(SEARCH("SF",UPPER(SUBSTITUTE($C69,"/","-")))),68,ISNUMBER(SEARCH("PF",UPPER(SUBSTITUTE($C69,"/","-")))),55,ISNUMBER(SEARCH("C",UPPER(SUBSTITUTE($C69,"/","-")))),42,TRUE,65)+2+((195-IFERROR($D69,195))*0.14)+((95-IFERROR($E69,95))*0.09))),0))</x:f>
      </x:c>
      <x:c r="AC69" s="20" t="str">
        <x:f>IF($B69="","",ROUND(MAX(30,MIN(99,IFS(ISNUMBER(SEARCH("C",UPPER(SUBSTITUTE($C69,"/","-")))),92,ISNUMBER(SEARCH("PF",UPPER(SUBSTITUTE($C69,"/","-")))),82,ISNUMBER(SEARCH("SF",UPPER(SUBSTITUTE($C69,"/","-")))),64,ISNUMBER(SEARCH("SG",UPPER(SUBSTITUTE($C69,"/","-")))),48,ISNUMBER(SEARCH("PG",UPPER(SUBSTITUTE($C69,"/","-")))),36,TRUE,60)+((IFERROR($E69,95)-95)*0.45)+((IFERROR($D69,195)-195)*0.10)+((IFERROR($F69,200)-200)*0.08))),0))</x:f>
      </x:c>
      <x:c r="AD69" s="20" t="str">
        <x:f>IF($B69="","",ROUND(MAX(30,MIN(99,65+((IFERROR($F69,200)-200)*0.22)+((IFERROR($D69,195)-195)*0.08)-((IFERROR($E69,95)-95)*0.07))),0))</x:f>
      </x:c>
      <x:c r="AE69" s="15" t="n">
        <x:f>IFERROR(='입력데이터'!S69,0)*0.4+IFERROR(='입력데이터'!AP69,0)*0.4+IFERROR(='입력데이터'!AO69,0)*0.5</x:f>
        <x:v>0</x:v>
      </x:c>
      <x:c r="AF69" s="15" t="n">
        <x:f>IFERROR(='입력데이터'!S69,0)*0.5+IFERROR(='입력데이터'!P69,0)*0.8+IFERROR(='입력데이터'!AG69,0)</x:f>
        <x:v>0</x:v>
      </x:c>
      <x:c r="AG69" s="15" t="n">
        <x:f>IFERROR(='입력데이터'!AJ69,0)*8+IFERROR(IFERROR(='입력데이터'!AJ69,0)/IFERROR(='입력데이터'!AK69,0),0)*30</x:f>
        <x:v>0</x:v>
      </x:c>
      <x:c r="AH69" s="15" t="n">
        <x:f>IFERROR(='입력데이터'!AJ69,0)*6+IFERROR(='입력데이터'!AH69,0)*4</x:f>
        <x:v>0</x:v>
      </x:c>
      <x:c r="AI69" s="15" t="n">
        <x:f>IFERROR(='입력데이터'!AP69,0)*0.4+IFERROR(='입력데이터'!AE69,0)*1.5+IFERROR(='입력데이터'!Q69,0)*1.5</x:f>
        <x:v>0</x:v>
      </x:c>
      <x:c r="AJ69" s="15" t="n">
        <x:f>MAX(0,IFERROR(='입력데이터'!P69,0)-IFERROR(='입력데이터'!Q69,0)*2-IFERROR(='입력데이터'!T69,0)*3-IFERROR(='입력데이터'!Z69,0))*1.5+IFERROR(='입력데이터'!Y69,0)*0.3</x:f>
        <x:v>0</x:v>
      </x:c>
      <x:c r="AK69" s="15" t="n">
        <x:f>IFERROR(='입력데이터'!V69,0)*0.6+IFERROR(='입력데이터'!U69,0)*2+IFERROR(='입력데이터'!T69,0)*3</x:f>
        <x:v>0</x:v>
      </x:c>
      <x:c r="AL69" s="15" t="n">
        <x:f>IFERROR(='입력데이터'!AB69,0)*0.7+IFERROR(='입력데이터'!AA69,0)*1.5</x:f>
        <x:v>0</x:v>
      </x:c>
      <x:c r="AM69" s="15" t="n">
        <x:f>IFERROR(='입력데이터'!AF69,0)*5+IFERROR(IFERROR(='입력데이터'!AF69,0)/IFERROR(='입력데이터'!AL69,0),0)*3+IFERROR(='입력데이터'!AT69,0)</x:f>
        <x:v>0</x:v>
      </x:c>
      <x:c r="AN69" s="15" t="n">
        <x:f>IFERROR(='입력데이터'!AF69,0)*3+IFERROR(='입력데이터'!AG69,0)*3+IFERROR(IFERROR(='입력데이터'!AF69,0)/IFERROR(='입력데이터'!AL69,0),0)*4</x:f>
        <x:v>0</x:v>
      </x:c>
      <x:c r="AO69" s="15" t="n">
        <x:f>IFERROR(='입력데이터'!AG69,0)*12+IFERROR(='입력데이터'!AU69,0)*6</x:f>
        <x:v>0</x:v>
      </x:c>
      <x:c r="AP69" s="15" t="n">
        <x:f>IFERROR(='입력데이터'!AH69,0)*14+IFERROR(='입력데이터'!AD69,0)</x:f>
        <x:v>0</x:v>
      </x:c>
      <x:c r="AQ69" s="15" t="n">
        <x:f>IFERROR(='입력데이터'!AC69,0)*10</x:f>
        <x:v>0</x:v>
      </x:c>
      <x:c r="AR69" s="15" t="n">
        <x:f>IFERROR(='입력데이터'!AD69,0)*7+IFERROR(='입력데이터'!AH69,0)*2</x:f>
        <x:v>0</x:v>
      </x:c>
      <x:c r="AS69" s="15" t="n">
        <x:f>IFERROR(='입력데이터'!AH69,0)*8+IFERROR(='입력데이터'!AD69,0)*2+IFERROR(='입력데이터'!AI69,0)*4</x:f>
        <x:v>0</x:v>
      </x:c>
      <x:c r="AT69" s="16" t="n">
        <x:f>IFERROR(='입력데이터'!AG69,0)*8+IFERROR(='입력데이터'!AI69,0)*5+IFERROR(='입력데이터'!AU69,0)*4</x:f>
        <x:v>0</x:v>
      </x:c>
    </x:row>
    <x:row r="70">
      <x:c r="A70" s="14" t="str">
        <x:f>IF('입력데이터'!$B70="","",'입력데이터'!A70)</x:f>
      </x:c>
      <x:c r="B70" s="15" t="str">
        <x:f>IF('입력데이터'!$B70="","",'입력데이터'!B70)</x:f>
      </x:c>
      <x:c r="C70" s="15" t="str">
        <x:f>IF('입력데이터'!$B70="","",'입력데이터'!K70)</x:f>
      </x:c>
      <x:c r="D70" s="15" t="str">
        <x:f>IF('입력데이터'!$B70="","",'입력데이터'!H70)</x:f>
      </x:c>
      <x:c r="E70" s="15" t="str">
        <x:f>IF('입력데이터'!$B70="","",'입력데이터'!I70)</x:f>
      </x:c>
      <x:c r="F70" s="15" t="str">
        <x:f>IF('입력데이터'!$B70="","",'입력데이터'!J70)</x:f>
      </x:c>
      <x:c r="G70" s="15" t="str">
        <x:f>IF('입력데이터'!$B70="","",'입력데이터'!L70)</x:f>
      </x:c>
      <x:c r="H70" s="15" t="str">
        <x:f>IF('입력데이터'!$B70="","",'입력데이터'!O70)</x:f>
      </x:c>
      <x:c r="I70" s="20" t="str">
        <x:f>IF($B70="", "", ROUND(MAX(30, MIN(99, IFERROR((AE70-MIN($AE$2:$AE$101))/(MAX($AE$2:$AE$101)-MIN($AE$2:$AE$101))*99,30))),0))</x:f>
      </x:c>
      <x:c r="J70" s="20" t="str">
        <x:f>IF($B70="", "", ROUND(MAX(30, MIN(99, IFERROR((AF70-MIN($AF$2:$AF$101))/(MAX($AF$2:$AF$101)-MIN($AF$2:$AF$101))*99,30))),0))</x:f>
      </x:c>
      <x:c r="K70" s="20" t="str">
        <x:f>IF($B70="", "", ROUND(MAX(30, MIN(99, IFERROR((AG70-MIN($AG$2:$AG$101))/(MAX($AG$2:$AG$101)-MIN($AG$2:$AG$101))*99,30))),0))</x:f>
      </x:c>
      <x:c r="L70" s="20" t="str">
        <x:f>IF($B70="", "", ROUND(MAX(30, MIN(99, IFERROR((AH70-MIN($AH$2:$AH$101))/(MAX($AH$2:$AH$101)-MIN($AH$2:$AH$101))*99,30))),0))</x:f>
      </x:c>
      <x:c r="M70" s="20" t="str">
        <x:f>IF($B70="", "", ROUND(MAX(30, MIN(99, IFERROR((AI70-MIN($AI$2:$AI$101))/(MAX($AI$2:$AI$101)-MIN($AI$2:$AI$101))*99,30))),0))</x:f>
      </x:c>
      <x:c r="N70" s="20" t="str">
        <x:f>IF($B70="", "", ROUND(MAX(30, MIN(99, IFERROR((AJ70-MIN($AJ$2:$AJ$101))/(MAX($AJ$2:$AJ$101)-MIN($AJ$2:$AJ$101))*99,30))),0))</x:f>
      </x:c>
      <x:c r="O70" s="20" t="str">
        <x:f>IF($B70="", "", ROUND(MAX(30, MIN(99, IFERROR((AK70-MIN($AK$2:$AK$101))/(MAX($AK$2:$AK$101)-MIN($AK$2:$AK$101))*99,30))),0))</x:f>
      </x:c>
      <x:c r="P70" s="20" t="str">
        <x:f>IF($B70="", "", ROUND(MAX(30, MIN(99, IFERROR((AL70-MIN($AL$2:$AL$101))/(MAX($AL$2:$AL$101)-MIN($AL$2:$AL$101))*99,30))),0))</x:f>
      </x:c>
      <x:c r="Q70" s="20" t="str">
        <x:f>IF($B70="", "", ROUND(MAX(30, MIN(99, IFERROR((AM70-MIN($AM$2:$AM$101))/(MAX($AM$2:$AM$101)-MIN($AM$2:$AM$101))*99,30))),0))</x:f>
      </x:c>
      <x:c r="R70" s="20" t="str">
        <x:f>IF($B70="", "", ROUND(MAX(30, MIN(99, IFERROR((AN70-MIN($AN$2:$AN$101))/(MAX($AN$2:$AN$101)-MIN($AN$2:$AN$101))*99,30))),0))</x:f>
      </x:c>
      <x:c r="S70" s="20" t="str">
        <x:f>IF($B70="", "", ROUND(MAX(30, MIN(99, IFERROR((AO70-MIN($AO$2:$AO$101))/(MAX($AO$2:$AO$101)-MIN($AO$2:$AO$101))*99,30))),0))</x:f>
      </x:c>
      <x:c r="T70" s="20" t="str">
        <x:f>IF($B70="", "", ROUND(MAX(30, MIN(99, IFERROR((AP70-MIN($AP$2:$AP$101))/(MAX($AP$2:$AP$101)-MIN($AP$2:$AP$101))*99,30))),0))</x:f>
      </x:c>
      <x:c r="U70" s="20" t="str">
        <x:f>IF($B70="", "", ROUND(MAX(30, MIN(99, IFERROR((AQ70-MIN($AQ$2:$AQ$101))/(MAX($AQ$2:$AQ$101)-MIN($AQ$2:$AQ$101))*99,30))),0))</x:f>
      </x:c>
      <x:c r="V70" s="20" t="str">
        <x:f>IF($B70="", "", ROUND(MAX(30, MIN(99, IFERROR((AR70-MIN($AR$2:$AR$101))/(MAX($AR$2:$AR$101)-MIN($AR$2:$AR$101))*99,30))),0))</x:f>
      </x:c>
      <x:c r="W70" s="20" t="str">
        <x:f>IF($B70="", "", ROUND(MAX(30, MIN(99, IFERROR((AS70-MIN($AS$2:$AS$101))/(MAX($AS$2:$AS$101)-MIN($AS$2:$AS$101))*99,30))),0))</x:f>
      </x:c>
      <x:c r="X70" s="20" t="str">
        <x:f>IF($B70="", "", ROUND(MAX(30, MIN(99, IFERROR((AT70-MIN($AT$2:$AT$101))/(MAX($AT$2:$AT$101)-MIN($AT$2:$AT$101))*99,30))),0))</x:f>
      </x:c>
      <x:c r="Y70" s="20" t="str">
        <x:f>IF($B70="","",ROUND(AVERAGE(I70:X70),0))</x:f>
      </x:c>
      <x:c r="Z70" s="20" t="str">
        <x:f>IF($B70="","",ROUND(MAX(30,MIN(99,IFS(ISNUMBER(SEARCH("PG",UPPER(SUBSTITUTE($C70,"/","-")))),84,ISNUMBER(SEARCH("SG",UPPER(SUBSTITUTE($C70,"/","-")))),76,ISNUMBER(SEARCH("SF",UPPER(SUBSTITUTE($C70,"/","-")))),68,ISNUMBER(SEARCH("PF",UPPER(SUBSTITUTE($C70,"/","-")))),55,ISNUMBER(SEARCH("C",UPPER(SUBSTITUTE($C70,"/","-")))),42,TRUE,65)+((195-IFERROR($D70,195))*0.15)+((95-IFERROR($E70,95))*0.08))),0))</x:f>
      </x:c>
      <x:c r="AA70" s="20" t="str">
        <x:f>IF($B70="","",ROUND(MAX(30,MIN(99,IFS(ISNUMBER(SEARCH("PG",UPPER(SUBSTITUTE($C70,"/","-")))),84,ISNUMBER(SEARCH("SG",UPPER(SUBSTITUTE($C70,"/","-")))),76,ISNUMBER(SEARCH("SF",UPPER(SUBSTITUTE($C70,"/","-")))),68,ISNUMBER(SEARCH("PF",UPPER(SUBSTITUTE($C70,"/","-")))),55,ISNUMBER(SEARCH("C",UPPER(SUBSTITUTE($C70,"/","-")))),42,TRUE,65)+((195-IFERROR($D70,195))*0.18)+((95-IFERROR($E70,95))*0.10))),0))</x:f>
      </x:c>
      <x:c r="AB70" s="20" t="str">
        <x:f>IF($B70="","",ROUND(MAX(30,MIN(99,IFS(ISNUMBER(SEARCH("PG",UPPER(SUBSTITUTE($C70,"/","-")))),84,ISNUMBER(SEARCH("SG",UPPER(SUBSTITUTE($C70,"/","-")))),76,ISNUMBER(SEARCH("SF",UPPER(SUBSTITUTE($C70,"/","-")))),68,ISNUMBER(SEARCH("PF",UPPER(SUBSTITUTE($C70,"/","-")))),55,ISNUMBER(SEARCH("C",UPPER(SUBSTITUTE($C70,"/","-")))),42,TRUE,65)+2+((195-IFERROR($D70,195))*0.14)+((95-IFERROR($E70,95))*0.09))),0))</x:f>
      </x:c>
      <x:c r="AC70" s="20" t="str">
        <x:f>IF($B70="","",ROUND(MAX(30,MIN(99,IFS(ISNUMBER(SEARCH("C",UPPER(SUBSTITUTE($C70,"/","-")))),92,ISNUMBER(SEARCH("PF",UPPER(SUBSTITUTE($C70,"/","-")))),82,ISNUMBER(SEARCH("SF",UPPER(SUBSTITUTE($C70,"/","-")))),64,ISNUMBER(SEARCH("SG",UPPER(SUBSTITUTE($C70,"/","-")))),48,ISNUMBER(SEARCH("PG",UPPER(SUBSTITUTE($C70,"/","-")))),36,TRUE,60)+((IFERROR($E70,95)-95)*0.45)+((IFERROR($D70,195)-195)*0.10)+((IFERROR($F70,200)-200)*0.08))),0))</x:f>
      </x:c>
      <x:c r="AD70" s="20" t="str">
        <x:f>IF($B70="","",ROUND(MAX(30,MIN(99,65+((IFERROR($F70,200)-200)*0.22)+((IFERROR($D70,195)-195)*0.08)-((IFERROR($E70,95)-95)*0.07))),0))</x:f>
      </x:c>
      <x:c r="AE70" s="15" t="n">
        <x:f>IFERROR(='입력데이터'!S70,0)*0.4+IFERROR(='입력데이터'!AP70,0)*0.4+IFERROR(='입력데이터'!AO70,0)*0.5</x:f>
        <x:v>0</x:v>
      </x:c>
      <x:c r="AF70" s="15" t="n">
        <x:f>IFERROR(='입력데이터'!S70,0)*0.5+IFERROR(='입력데이터'!P70,0)*0.8+IFERROR(='입력데이터'!AG70,0)</x:f>
        <x:v>0</x:v>
      </x:c>
      <x:c r="AG70" s="15" t="n">
        <x:f>IFERROR(='입력데이터'!AJ70,0)*8+IFERROR(IFERROR(='입력데이터'!AJ70,0)/IFERROR(='입력데이터'!AK70,0),0)*30</x:f>
        <x:v>0</x:v>
      </x:c>
      <x:c r="AH70" s="15" t="n">
        <x:f>IFERROR(='입력데이터'!AJ70,0)*6+IFERROR(='입력데이터'!AH70,0)*4</x:f>
        <x:v>0</x:v>
      </x:c>
      <x:c r="AI70" s="15" t="n">
        <x:f>IFERROR(='입력데이터'!AP70,0)*0.4+IFERROR(='입력데이터'!AE70,0)*1.5+IFERROR(='입력데이터'!Q70,0)*1.5</x:f>
        <x:v>0</x:v>
      </x:c>
      <x:c r="AJ70" s="15" t="n">
        <x:f>MAX(0,IFERROR(='입력데이터'!P70,0)-IFERROR(='입력데이터'!Q70,0)*2-IFERROR(='입력데이터'!T70,0)*3-IFERROR(='입력데이터'!Z70,0))*1.5+IFERROR(='입력데이터'!Y70,0)*0.3</x:f>
        <x:v>0</x:v>
      </x:c>
      <x:c r="AK70" s="15" t="n">
        <x:f>IFERROR(='입력데이터'!V70,0)*0.6+IFERROR(='입력데이터'!U70,0)*2+IFERROR(='입력데이터'!T70,0)*3</x:f>
        <x:v>0</x:v>
      </x:c>
      <x:c r="AL70" s="15" t="n">
        <x:f>IFERROR(='입력데이터'!AB70,0)*0.7+IFERROR(='입력데이터'!AA70,0)*1.5</x:f>
        <x:v>0</x:v>
      </x:c>
      <x:c r="AM70" s="15" t="n">
        <x:f>IFERROR(='입력데이터'!AF70,0)*5+IFERROR(IFERROR(='입력데이터'!AF70,0)/IFERROR(='입력데이터'!AL70,0),0)*3+IFERROR(='입력데이터'!AT70,0)</x:f>
        <x:v>0</x:v>
      </x:c>
      <x:c r="AN70" s="15" t="n">
        <x:f>IFERROR(='입력데이터'!AF70,0)*3+IFERROR(='입력데이터'!AG70,0)*3+IFERROR(IFERROR(='입력데이터'!AF70,0)/IFERROR(='입력데이터'!AL70,0),0)*4</x:f>
        <x:v>0</x:v>
      </x:c>
      <x:c r="AO70" s="15" t="n">
        <x:f>IFERROR(='입력데이터'!AG70,0)*12+IFERROR(='입력데이터'!AU70,0)*6</x:f>
        <x:v>0</x:v>
      </x:c>
      <x:c r="AP70" s="15" t="n">
        <x:f>IFERROR(='입력데이터'!AH70,0)*14+IFERROR(='입력데이터'!AD70,0)</x:f>
        <x:v>0</x:v>
      </x:c>
      <x:c r="AQ70" s="15" t="n">
        <x:f>IFERROR(='입력데이터'!AC70,0)*10</x:f>
        <x:v>0</x:v>
      </x:c>
      <x:c r="AR70" s="15" t="n">
        <x:f>IFERROR(='입력데이터'!AD70,0)*7+IFERROR(='입력데이터'!AH70,0)*2</x:f>
        <x:v>0</x:v>
      </x:c>
      <x:c r="AS70" s="15" t="n">
        <x:f>IFERROR(='입력데이터'!AH70,0)*8+IFERROR(='입력데이터'!AD70,0)*2+IFERROR(='입력데이터'!AI70,0)*4</x:f>
        <x:v>0</x:v>
      </x:c>
      <x:c r="AT70" s="16" t="n">
        <x:f>IFERROR(='입력데이터'!AG70,0)*8+IFERROR(='입력데이터'!AI70,0)*5+IFERROR(='입력데이터'!AU70,0)*4</x:f>
        <x:v>0</x:v>
      </x:c>
    </x:row>
    <x:row r="71">
      <x:c r="A71" s="14" t="str">
        <x:f>IF('입력데이터'!$B71="","",'입력데이터'!A71)</x:f>
      </x:c>
      <x:c r="B71" s="15" t="str">
        <x:f>IF('입력데이터'!$B71="","",'입력데이터'!B71)</x:f>
      </x:c>
      <x:c r="C71" s="15" t="str">
        <x:f>IF('입력데이터'!$B71="","",'입력데이터'!K71)</x:f>
      </x:c>
      <x:c r="D71" s="15" t="str">
        <x:f>IF('입력데이터'!$B71="","",'입력데이터'!H71)</x:f>
      </x:c>
      <x:c r="E71" s="15" t="str">
        <x:f>IF('입력데이터'!$B71="","",'입력데이터'!I71)</x:f>
      </x:c>
      <x:c r="F71" s="15" t="str">
        <x:f>IF('입력데이터'!$B71="","",'입력데이터'!J71)</x:f>
      </x:c>
      <x:c r="G71" s="15" t="str">
        <x:f>IF('입력데이터'!$B71="","",'입력데이터'!L71)</x:f>
      </x:c>
      <x:c r="H71" s="15" t="str">
        <x:f>IF('입력데이터'!$B71="","",'입력데이터'!O71)</x:f>
      </x:c>
      <x:c r="I71" s="20" t="str">
        <x:f>IF($B71="", "", ROUND(MAX(30, MIN(99, IFERROR((AE71-MIN($AE$2:$AE$101))/(MAX($AE$2:$AE$101)-MIN($AE$2:$AE$101))*99,30))),0))</x:f>
      </x:c>
      <x:c r="J71" s="20" t="str">
        <x:f>IF($B71="", "", ROUND(MAX(30, MIN(99, IFERROR((AF71-MIN($AF$2:$AF$101))/(MAX($AF$2:$AF$101)-MIN($AF$2:$AF$101))*99,30))),0))</x:f>
      </x:c>
      <x:c r="K71" s="20" t="str">
        <x:f>IF($B71="", "", ROUND(MAX(30, MIN(99, IFERROR((AG71-MIN($AG$2:$AG$101))/(MAX($AG$2:$AG$101)-MIN($AG$2:$AG$101))*99,30))),0))</x:f>
      </x:c>
      <x:c r="L71" s="20" t="str">
        <x:f>IF($B71="", "", ROUND(MAX(30, MIN(99, IFERROR((AH71-MIN($AH$2:$AH$101))/(MAX($AH$2:$AH$101)-MIN($AH$2:$AH$101))*99,30))),0))</x:f>
      </x:c>
      <x:c r="M71" s="20" t="str">
        <x:f>IF($B71="", "", ROUND(MAX(30, MIN(99, IFERROR((AI71-MIN($AI$2:$AI$101))/(MAX($AI$2:$AI$101)-MIN($AI$2:$AI$101))*99,30))),0))</x:f>
      </x:c>
      <x:c r="N71" s="20" t="str">
        <x:f>IF($B71="", "", ROUND(MAX(30, MIN(99, IFERROR((AJ71-MIN($AJ$2:$AJ$101))/(MAX($AJ$2:$AJ$101)-MIN($AJ$2:$AJ$101))*99,30))),0))</x:f>
      </x:c>
      <x:c r="O71" s="20" t="str">
        <x:f>IF($B71="", "", ROUND(MAX(30, MIN(99, IFERROR((AK71-MIN($AK$2:$AK$101))/(MAX($AK$2:$AK$101)-MIN($AK$2:$AK$101))*99,30))),0))</x:f>
      </x:c>
      <x:c r="P71" s="20" t="str">
        <x:f>IF($B71="", "", ROUND(MAX(30, MIN(99, IFERROR((AL71-MIN($AL$2:$AL$101))/(MAX($AL$2:$AL$101)-MIN($AL$2:$AL$101))*99,30))),0))</x:f>
      </x:c>
      <x:c r="Q71" s="20" t="str">
        <x:f>IF($B71="", "", ROUND(MAX(30, MIN(99, IFERROR((AM71-MIN($AM$2:$AM$101))/(MAX($AM$2:$AM$101)-MIN($AM$2:$AM$101))*99,30))),0))</x:f>
      </x:c>
      <x:c r="R71" s="20" t="str">
        <x:f>IF($B71="", "", ROUND(MAX(30, MIN(99, IFERROR((AN71-MIN($AN$2:$AN$101))/(MAX($AN$2:$AN$101)-MIN($AN$2:$AN$101))*99,30))),0))</x:f>
      </x:c>
      <x:c r="S71" s="20" t="str">
        <x:f>IF($B71="", "", ROUND(MAX(30, MIN(99, IFERROR((AO71-MIN($AO$2:$AO$101))/(MAX($AO$2:$AO$101)-MIN($AO$2:$AO$101))*99,30))),0))</x:f>
      </x:c>
      <x:c r="T71" s="20" t="str">
        <x:f>IF($B71="", "", ROUND(MAX(30, MIN(99, IFERROR((AP71-MIN($AP$2:$AP$101))/(MAX($AP$2:$AP$101)-MIN($AP$2:$AP$101))*99,30))),0))</x:f>
      </x:c>
      <x:c r="U71" s="20" t="str">
        <x:f>IF($B71="", "", ROUND(MAX(30, MIN(99, IFERROR((AQ71-MIN($AQ$2:$AQ$101))/(MAX($AQ$2:$AQ$101)-MIN($AQ$2:$AQ$101))*99,30))),0))</x:f>
      </x:c>
      <x:c r="V71" s="20" t="str">
        <x:f>IF($B71="", "", ROUND(MAX(30, MIN(99, IFERROR((AR71-MIN($AR$2:$AR$101))/(MAX($AR$2:$AR$101)-MIN($AR$2:$AR$101))*99,30))),0))</x:f>
      </x:c>
      <x:c r="W71" s="20" t="str">
        <x:f>IF($B71="", "", ROUND(MAX(30, MIN(99, IFERROR((AS71-MIN($AS$2:$AS$101))/(MAX($AS$2:$AS$101)-MIN($AS$2:$AS$101))*99,30))),0))</x:f>
      </x:c>
      <x:c r="X71" s="20" t="str">
        <x:f>IF($B71="", "", ROUND(MAX(30, MIN(99, IFERROR((AT71-MIN($AT$2:$AT$101))/(MAX($AT$2:$AT$101)-MIN($AT$2:$AT$101))*99,30))),0))</x:f>
      </x:c>
      <x:c r="Y71" s="20" t="str">
        <x:f>IF($B71="","",ROUND(AVERAGE(I71:X71),0))</x:f>
      </x:c>
      <x:c r="Z71" s="20" t="str">
        <x:f>IF($B71="","",ROUND(MAX(30,MIN(99,IFS(ISNUMBER(SEARCH("PG",UPPER(SUBSTITUTE($C71,"/","-")))),84,ISNUMBER(SEARCH("SG",UPPER(SUBSTITUTE($C71,"/","-")))),76,ISNUMBER(SEARCH("SF",UPPER(SUBSTITUTE($C71,"/","-")))),68,ISNUMBER(SEARCH("PF",UPPER(SUBSTITUTE($C71,"/","-")))),55,ISNUMBER(SEARCH("C",UPPER(SUBSTITUTE($C71,"/","-")))),42,TRUE,65)+((195-IFERROR($D71,195))*0.15)+((95-IFERROR($E71,95))*0.08))),0))</x:f>
      </x:c>
      <x:c r="AA71" s="20" t="str">
        <x:f>IF($B71="","",ROUND(MAX(30,MIN(99,IFS(ISNUMBER(SEARCH("PG",UPPER(SUBSTITUTE($C71,"/","-")))),84,ISNUMBER(SEARCH("SG",UPPER(SUBSTITUTE($C71,"/","-")))),76,ISNUMBER(SEARCH("SF",UPPER(SUBSTITUTE($C71,"/","-")))),68,ISNUMBER(SEARCH("PF",UPPER(SUBSTITUTE($C71,"/","-")))),55,ISNUMBER(SEARCH("C",UPPER(SUBSTITUTE($C71,"/","-")))),42,TRUE,65)+((195-IFERROR($D71,195))*0.18)+((95-IFERROR($E71,95))*0.10))),0))</x:f>
      </x:c>
      <x:c r="AB71" s="20" t="str">
        <x:f>IF($B71="","",ROUND(MAX(30,MIN(99,IFS(ISNUMBER(SEARCH("PG",UPPER(SUBSTITUTE($C71,"/","-")))),84,ISNUMBER(SEARCH("SG",UPPER(SUBSTITUTE($C71,"/","-")))),76,ISNUMBER(SEARCH("SF",UPPER(SUBSTITUTE($C71,"/","-")))),68,ISNUMBER(SEARCH("PF",UPPER(SUBSTITUTE($C71,"/","-")))),55,ISNUMBER(SEARCH("C",UPPER(SUBSTITUTE($C71,"/","-")))),42,TRUE,65)+2+((195-IFERROR($D71,195))*0.14)+((95-IFERROR($E71,95))*0.09))),0))</x:f>
      </x:c>
      <x:c r="AC71" s="20" t="str">
        <x:f>IF($B71="","",ROUND(MAX(30,MIN(99,IFS(ISNUMBER(SEARCH("C",UPPER(SUBSTITUTE($C71,"/","-")))),92,ISNUMBER(SEARCH("PF",UPPER(SUBSTITUTE($C71,"/","-")))),82,ISNUMBER(SEARCH("SF",UPPER(SUBSTITUTE($C71,"/","-")))),64,ISNUMBER(SEARCH("SG",UPPER(SUBSTITUTE($C71,"/","-")))),48,ISNUMBER(SEARCH("PG",UPPER(SUBSTITUTE($C71,"/","-")))),36,TRUE,60)+((IFERROR($E71,95)-95)*0.45)+((IFERROR($D71,195)-195)*0.10)+((IFERROR($F71,200)-200)*0.08))),0))</x:f>
      </x:c>
      <x:c r="AD71" s="20" t="str">
        <x:f>IF($B71="","",ROUND(MAX(30,MIN(99,65+((IFERROR($F71,200)-200)*0.22)+((IFERROR($D71,195)-195)*0.08)-((IFERROR($E71,95)-95)*0.07))),0))</x:f>
      </x:c>
      <x:c r="AE71" s="15" t="n">
        <x:f>IFERROR(='입력데이터'!S71,0)*0.4+IFERROR(='입력데이터'!AP71,0)*0.4+IFERROR(='입력데이터'!AO71,0)*0.5</x:f>
        <x:v>0</x:v>
      </x:c>
      <x:c r="AF71" s="15" t="n">
        <x:f>IFERROR(='입력데이터'!S71,0)*0.5+IFERROR(='입력데이터'!P71,0)*0.8+IFERROR(='입력데이터'!AG71,0)</x:f>
        <x:v>0</x:v>
      </x:c>
      <x:c r="AG71" s="15" t="n">
        <x:f>IFERROR(='입력데이터'!AJ71,0)*8+IFERROR(IFERROR(='입력데이터'!AJ71,0)/IFERROR(='입력데이터'!AK71,0),0)*30</x:f>
        <x:v>0</x:v>
      </x:c>
      <x:c r="AH71" s="15" t="n">
        <x:f>IFERROR(='입력데이터'!AJ71,0)*6+IFERROR(='입력데이터'!AH71,0)*4</x:f>
        <x:v>0</x:v>
      </x:c>
      <x:c r="AI71" s="15" t="n">
        <x:f>IFERROR(='입력데이터'!AP71,0)*0.4+IFERROR(='입력데이터'!AE71,0)*1.5+IFERROR(='입력데이터'!Q71,0)*1.5</x:f>
        <x:v>0</x:v>
      </x:c>
      <x:c r="AJ71" s="15" t="n">
        <x:f>MAX(0,IFERROR(='입력데이터'!P71,0)-IFERROR(='입력데이터'!Q71,0)*2-IFERROR(='입력데이터'!T71,0)*3-IFERROR(='입력데이터'!Z71,0))*1.5+IFERROR(='입력데이터'!Y71,0)*0.3</x:f>
        <x:v>0</x:v>
      </x:c>
      <x:c r="AK71" s="15" t="n">
        <x:f>IFERROR(='입력데이터'!V71,0)*0.6+IFERROR(='입력데이터'!U71,0)*2+IFERROR(='입력데이터'!T71,0)*3</x:f>
        <x:v>0</x:v>
      </x:c>
      <x:c r="AL71" s="15" t="n">
        <x:f>IFERROR(='입력데이터'!AB71,0)*0.7+IFERROR(='입력데이터'!AA71,0)*1.5</x:f>
        <x:v>0</x:v>
      </x:c>
      <x:c r="AM71" s="15" t="n">
        <x:f>IFERROR(='입력데이터'!AF71,0)*5+IFERROR(IFERROR(='입력데이터'!AF71,0)/IFERROR(='입력데이터'!AL71,0),0)*3+IFERROR(='입력데이터'!AT71,0)</x:f>
        <x:v>0</x:v>
      </x:c>
      <x:c r="AN71" s="15" t="n">
        <x:f>IFERROR(='입력데이터'!AF71,0)*3+IFERROR(='입력데이터'!AG71,0)*3+IFERROR(IFERROR(='입력데이터'!AF71,0)/IFERROR(='입력데이터'!AL71,0),0)*4</x:f>
        <x:v>0</x:v>
      </x:c>
      <x:c r="AO71" s="15" t="n">
        <x:f>IFERROR(='입력데이터'!AG71,0)*12+IFERROR(='입력데이터'!AU71,0)*6</x:f>
        <x:v>0</x:v>
      </x:c>
      <x:c r="AP71" s="15" t="n">
        <x:f>IFERROR(='입력데이터'!AH71,0)*14+IFERROR(='입력데이터'!AD71,0)</x:f>
        <x:v>0</x:v>
      </x:c>
      <x:c r="AQ71" s="15" t="n">
        <x:f>IFERROR(='입력데이터'!AC71,0)*10</x:f>
        <x:v>0</x:v>
      </x:c>
      <x:c r="AR71" s="15" t="n">
        <x:f>IFERROR(='입력데이터'!AD71,0)*7+IFERROR(='입력데이터'!AH71,0)*2</x:f>
        <x:v>0</x:v>
      </x:c>
      <x:c r="AS71" s="15" t="n">
        <x:f>IFERROR(='입력데이터'!AH71,0)*8+IFERROR(='입력데이터'!AD71,0)*2+IFERROR(='입력데이터'!AI71,0)*4</x:f>
        <x:v>0</x:v>
      </x:c>
      <x:c r="AT71" s="16" t="n">
        <x:f>IFERROR(='입력데이터'!AG71,0)*8+IFERROR(='입력데이터'!AI71,0)*5+IFERROR(='입력데이터'!AU71,0)*4</x:f>
        <x:v>0</x:v>
      </x:c>
    </x:row>
    <x:row r="72">
      <x:c r="A72" s="14" t="str">
        <x:f>IF('입력데이터'!$B72="","",'입력데이터'!A72)</x:f>
      </x:c>
      <x:c r="B72" s="15" t="str">
        <x:f>IF('입력데이터'!$B72="","",'입력데이터'!B72)</x:f>
      </x:c>
      <x:c r="C72" s="15" t="str">
        <x:f>IF('입력데이터'!$B72="","",'입력데이터'!K72)</x:f>
      </x:c>
      <x:c r="D72" s="15" t="str">
        <x:f>IF('입력데이터'!$B72="","",'입력데이터'!H72)</x:f>
      </x:c>
      <x:c r="E72" s="15" t="str">
        <x:f>IF('입력데이터'!$B72="","",'입력데이터'!I72)</x:f>
      </x:c>
      <x:c r="F72" s="15" t="str">
        <x:f>IF('입력데이터'!$B72="","",'입력데이터'!J72)</x:f>
      </x:c>
      <x:c r="G72" s="15" t="str">
        <x:f>IF('입력데이터'!$B72="","",'입력데이터'!L72)</x:f>
      </x:c>
      <x:c r="H72" s="15" t="str">
        <x:f>IF('입력데이터'!$B72="","",'입력데이터'!O72)</x:f>
      </x:c>
      <x:c r="I72" s="20" t="str">
        <x:f>IF($B72="", "", ROUND(MAX(30, MIN(99, IFERROR((AE72-MIN($AE$2:$AE$101))/(MAX($AE$2:$AE$101)-MIN($AE$2:$AE$101))*99,30))),0))</x:f>
      </x:c>
      <x:c r="J72" s="20" t="str">
        <x:f>IF($B72="", "", ROUND(MAX(30, MIN(99, IFERROR((AF72-MIN($AF$2:$AF$101))/(MAX($AF$2:$AF$101)-MIN($AF$2:$AF$101))*99,30))),0))</x:f>
      </x:c>
      <x:c r="K72" s="20" t="str">
        <x:f>IF($B72="", "", ROUND(MAX(30, MIN(99, IFERROR((AG72-MIN($AG$2:$AG$101))/(MAX($AG$2:$AG$101)-MIN($AG$2:$AG$101))*99,30))),0))</x:f>
      </x:c>
      <x:c r="L72" s="20" t="str">
        <x:f>IF($B72="", "", ROUND(MAX(30, MIN(99, IFERROR((AH72-MIN($AH$2:$AH$101))/(MAX($AH$2:$AH$101)-MIN($AH$2:$AH$101))*99,30))),0))</x:f>
      </x:c>
      <x:c r="M72" s="20" t="str">
        <x:f>IF($B72="", "", ROUND(MAX(30, MIN(99, IFERROR((AI72-MIN($AI$2:$AI$101))/(MAX($AI$2:$AI$101)-MIN($AI$2:$AI$101))*99,30))),0))</x:f>
      </x:c>
      <x:c r="N72" s="20" t="str">
        <x:f>IF($B72="", "", ROUND(MAX(30, MIN(99, IFERROR((AJ72-MIN($AJ$2:$AJ$101))/(MAX($AJ$2:$AJ$101)-MIN($AJ$2:$AJ$101))*99,30))),0))</x:f>
      </x:c>
      <x:c r="O72" s="20" t="str">
        <x:f>IF($B72="", "", ROUND(MAX(30, MIN(99, IFERROR((AK72-MIN($AK$2:$AK$101))/(MAX($AK$2:$AK$101)-MIN($AK$2:$AK$101))*99,30))),0))</x:f>
      </x:c>
      <x:c r="P72" s="20" t="str">
        <x:f>IF($B72="", "", ROUND(MAX(30, MIN(99, IFERROR((AL72-MIN($AL$2:$AL$101))/(MAX($AL$2:$AL$101)-MIN($AL$2:$AL$101))*99,30))),0))</x:f>
      </x:c>
      <x:c r="Q72" s="20" t="str">
        <x:f>IF($B72="", "", ROUND(MAX(30, MIN(99, IFERROR((AM72-MIN($AM$2:$AM$101))/(MAX($AM$2:$AM$101)-MIN($AM$2:$AM$101))*99,30))),0))</x:f>
      </x:c>
      <x:c r="R72" s="20" t="str">
        <x:f>IF($B72="", "", ROUND(MAX(30, MIN(99, IFERROR((AN72-MIN($AN$2:$AN$101))/(MAX($AN$2:$AN$101)-MIN($AN$2:$AN$101))*99,30))),0))</x:f>
      </x:c>
      <x:c r="S72" s="20" t="str">
        <x:f>IF($B72="", "", ROUND(MAX(30, MIN(99, IFERROR((AO72-MIN($AO$2:$AO$101))/(MAX($AO$2:$AO$101)-MIN($AO$2:$AO$101))*99,30))),0))</x:f>
      </x:c>
      <x:c r="T72" s="20" t="str">
        <x:f>IF($B72="", "", ROUND(MAX(30, MIN(99, IFERROR((AP72-MIN($AP$2:$AP$101))/(MAX($AP$2:$AP$101)-MIN($AP$2:$AP$101))*99,30))),0))</x:f>
      </x:c>
      <x:c r="U72" s="20" t="str">
        <x:f>IF($B72="", "", ROUND(MAX(30, MIN(99, IFERROR((AQ72-MIN($AQ$2:$AQ$101))/(MAX($AQ$2:$AQ$101)-MIN($AQ$2:$AQ$101))*99,30))),0))</x:f>
      </x:c>
      <x:c r="V72" s="20" t="str">
        <x:f>IF($B72="", "", ROUND(MAX(30, MIN(99, IFERROR((AR72-MIN($AR$2:$AR$101))/(MAX($AR$2:$AR$101)-MIN($AR$2:$AR$101))*99,30))),0))</x:f>
      </x:c>
      <x:c r="W72" s="20" t="str">
        <x:f>IF($B72="", "", ROUND(MAX(30, MIN(99, IFERROR((AS72-MIN($AS$2:$AS$101))/(MAX($AS$2:$AS$101)-MIN($AS$2:$AS$101))*99,30))),0))</x:f>
      </x:c>
      <x:c r="X72" s="20" t="str">
        <x:f>IF($B72="", "", ROUND(MAX(30, MIN(99, IFERROR((AT72-MIN($AT$2:$AT$101))/(MAX($AT$2:$AT$101)-MIN($AT$2:$AT$101))*99,30))),0))</x:f>
      </x:c>
      <x:c r="Y72" s="20" t="str">
        <x:f>IF($B72="","",ROUND(AVERAGE(I72:X72),0))</x:f>
      </x:c>
      <x:c r="Z72" s="20" t="str">
        <x:f>IF($B72="","",ROUND(MAX(30,MIN(99,IFS(ISNUMBER(SEARCH("PG",UPPER(SUBSTITUTE($C72,"/","-")))),84,ISNUMBER(SEARCH("SG",UPPER(SUBSTITUTE($C72,"/","-")))),76,ISNUMBER(SEARCH("SF",UPPER(SUBSTITUTE($C72,"/","-")))),68,ISNUMBER(SEARCH("PF",UPPER(SUBSTITUTE($C72,"/","-")))),55,ISNUMBER(SEARCH("C",UPPER(SUBSTITUTE($C72,"/","-")))),42,TRUE,65)+((195-IFERROR($D72,195))*0.15)+((95-IFERROR($E72,95))*0.08))),0))</x:f>
      </x:c>
      <x:c r="AA72" s="20" t="str">
        <x:f>IF($B72="","",ROUND(MAX(30,MIN(99,IFS(ISNUMBER(SEARCH("PG",UPPER(SUBSTITUTE($C72,"/","-")))),84,ISNUMBER(SEARCH("SG",UPPER(SUBSTITUTE($C72,"/","-")))),76,ISNUMBER(SEARCH("SF",UPPER(SUBSTITUTE($C72,"/","-")))),68,ISNUMBER(SEARCH("PF",UPPER(SUBSTITUTE($C72,"/","-")))),55,ISNUMBER(SEARCH("C",UPPER(SUBSTITUTE($C72,"/","-")))),42,TRUE,65)+((195-IFERROR($D72,195))*0.18)+((95-IFERROR($E72,95))*0.10))),0))</x:f>
      </x:c>
      <x:c r="AB72" s="20" t="str">
        <x:f>IF($B72="","",ROUND(MAX(30,MIN(99,IFS(ISNUMBER(SEARCH("PG",UPPER(SUBSTITUTE($C72,"/","-")))),84,ISNUMBER(SEARCH("SG",UPPER(SUBSTITUTE($C72,"/","-")))),76,ISNUMBER(SEARCH("SF",UPPER(SUBSTITUTE($C72,"/","-")))),68,ISNUMBER(SEARCH("PF",UPPER(SUBSTITUTE($C72,"/","-")))),55,ISNUMBER(SEARCH("C",UPPER(SUBSTITUTE($C72,"/","-")))),42,TRUE,65)+2+((195-IFERROR($D72,195))*0.14)+((95-IFERROR($E72,95))*0.09))),0))</x:f>
      </x:c>
      <x:c r="AC72" s="20" t="str">
        <x:f>IF($B72="","",ROUND(MAX(30,MIN(99,IFS(ISNUMBER(SEARCH("C",UPPER(SUBSTITUTE($C72,"/","-")))),92,ISNUMBER(SEARCH("PF",UPPER(SUBSTITUTE($C72,"/","-")))),82,ISNUMBER(SEARCH("SF",UPPER(SUBSTITUTE($C72,"/","-")))),64,ISNUMBER(SEARCH("SG",UPPER(SUBSTITUTE($C72,"/","-")))),48,ISNUMBER(SEARCH("PG",UPPER(SUBSTITUTE($C72,"/","-")))),36,TRUE,60)+((IFERROR($E72,95)-95)*0.45)+((IFERROR($D72,195)-195)*0.10)+((IFERROR($F72,200)-200)*0.08))),0))</x:f>
      </x:c>
      <x:c r="AD72" s="20" t="str">
        <x:f>IF($B72="","",ROUND(MAX(30,MIN(99,65+((IFERROR($F72,200)-200)*0.22)+((IFERROR($D72,195)-195)*0.08)-((IFERROR($E72,95)-95)*0.07))),0))</x:f>
      </x:c>
      <x:c r="AE72" s="15" t="n">
        <x:f>IFERROR(='입력데이터'!S72,0)*0.4+IFERROR(='입력데이터'!AP72,0)*0.4+IFERROR(='입력데이터'!AO72,0)*0.5</x:f>
        <x:v>0</x:v>
      </x:c>
      <x:c r="AF72" s="15" t="n">
        <x:f>IFERROR(='입력데이터'!S72,0)*0.5+IFERROR(='입력데이터'!P72,0)*0.8+IFERROR(='입력데이터'!AG72,0)</x:f>
        <x:v>0</x:v>
      </x:c>
      <x:c r="AG72" s="15" t="n">
        <x:f>IFERROR(='입력데이터'!AJ72,0)*8+IFERROR(IFERROR(='입력데이터'!AJ72,0)/IFERROR(='입력데이터'!AK72,0),0)*30</x:f>
        <x:v>0</x:v>
      </x:c>
      <x:c r="AH72" s="15" t="n">
        <x:f>IFERROR(='입력데이터'!AJ72,0)*6+IFERROR(='입력데이터'!AH72,0)*4</x:f>
        <x:v>0</x:v>
      </x:c>
      <x:c r="AI72" s="15" t="n">
        <x:f>IFERROR(='입력데이터'!AP72,0)*0.4+IFERROR(='입력데이터'!AE72,0)*1.5+IFERROR(='입력데이터'!Q72,0)*1.5</x:f>
        <x:v>0</x:v>
      </x:c>
      <x:c r="AJ72" s="15" t="n">
        <x:f>MAX(0,IFERROR(='입력데이터'!P72,0)-IFERROR(='입력데이터'!Q72,0)*2-IFERROR(='입력데이터'!T72,0)*3-IFERROR(='입력데이터'!Z72,0))*1.5+IFERROR(='입력데이터'!Y72,0)*0.3</x:f>
        <x:v>0</x:v>
      </x:c>
      <x:c r="AK72" s="15" t="n">
        <x:f>IFERROR(='입력데이터'!V72,0)*0.6+IFERROR(='입력데이터'!U72,0)*2+IFERROR(='입력데이터'!T72,0)*3</x:f>
        <x:v>0</x:v>
      </x:c>
      <x:c r="AL72" s="15" t="n">
        <x:f>IFERROR(='입력데이터'!AB72,0)*0.7+IFERROR(='입력데이터'!AA72,0)*1.5</x:f>
        <x:v>0</x:v>
      </x:c>
      <x:c r="AM72" s="15" t="n">
        <x:f>IFERROR(='입력데이터'!AF72,0)*5+IFERROR(IFERROR(='입력데이터'!AF72,0)/IFERROR(='입력데이터'!AL72,0),0)*3+IFERROR(='입력데이터'!AT72,0)</x:f>
        <x:v>0</x:v>
      </x:c>
      <x:c r="AN72" s="15" t="n">
        <x:f>IFERROR(='입력데이터'!AF72,0)*3+IFERROR(='입력데이터'!AG72,0)*3+IFERROR(IFERROR(='입력데이터'!AF72,0)/IFERROR(='입력데이터'!AL72,0),0)*4</x:f>
        <x:v>0</x:v>
      </x:c>
      <x:c r="AO72" s="15" t="n">
        <x:f>IFERROR(='입력데이터'!AG72,0)*12+IFERROR(='입력데이터'!AU72,0)*6</x:f>
        <x:v>0</x:v>
      </x:c>
      <x:c r="AP72" s="15" t="n">
        <x:f>IFERROR(='입력데이터'!AH72,0)*14+IFERROR(='입력데이터'!AD72,0)</x:f>
        <x:v>0</x:v>
      </x:c>
      <x:c r="AQ72" s="15" t="n">
        <x:f>IFERROR(='입력데이터'!AC72,0)*10</x:f>
        <x:v>0</x:v>
      </x:c>
      <x:c r="AR72" s="15" t="n">
        <x:f>IFERROR(='입력데이터'!AD72,0)*7+IFERROR(='입력데이터'!AH72,0)*2</x:f>
        <x:v>0</x:v>
      </x:c>
      <x:c r="AS72" s="15" t="n">
        <x:f>IFERROR(='입력데이터'!AH72,0)*8+IFERROR(='입력데이터'!AD72,0)*2+IFERROR(='입력데이터'!AI72,0)*4</x:f>
        <x:v>0</x:v>
      </x:c>
      <x:c r="AT72" s="16" t="n">
        <x:f>IFERROR(='입력데이터'!AG72,0)*8+IFERROR(='입력데이터'!AI72,0)*5+IFERROR(='입력데이터'!AU72,0)*4</x:f>
        <x:v>0</x:v>
      </x:c>
    </x:row>
    <x:row r="73">
      <x:c r="A73" s="14" t="str">
        <x:f>IF('입력데이터'!$B73="","",'입력데이터'!A73)</x:f>
      </x:c>
      <x:c r="B73" s="15" t="str">
        <x:f>IF('입력데이터'!$B73="","",'입력데이터'!B73)</x:f>
      </x:c>
      <x:c r="C73" s="15" t="str">
        <x:f>IF('입력데이터'!$B73="","",'입력데이터'!K73)</x:f>
      </x:c>
      <x:c r="D73" s="15" t="str">
        <x:f>IF('입력데이터'!$B73="","",'입력데이터'!H73)</x:f>
      </x:c>
      <x:c r="E73" s="15" t="str">
        <x:f>IF('입력데이터'!$B73="","",'입력데이터'!I73)</x:f>
      </x:c>
      <x:c r="F73" s="15" t="str">
        <x:f>IF('입력데이터'!$B73="","",'입력데이터'!J73)</x:f>
      </x:c>
      <x:c r="G73" s="15" t="str">
        <x:f>IF('입력데이터'!$B73="","",'입력데이터'!L73)</x:f>
      </x:c>
      <x:c r="H73" s="15" t="str">
        <x:f>IF('입력데이터'!$B73="","",'입력데이터'!O73)</x:f>
      </x:c>
      <x:c r="I73" s="20" t="str">
        <x:f>IF($B73="", "", ROUND(MAX(30, MIN(99, IFERROR((AE73-MIN($AE$2:$AE$101))/(MAX($AE$2:$AE$101)-MIN($AE$2:$AE$101))*99,30))),0))</x:f>
      </x:c>
      <x:c r="J73" s="20" t="str">
        <x:f>IF($B73="", "", ROUND(MAX(30, MIN(99, IFERROR((AF73-MIN($AF$2:$AF$101))/(MAX($AF$2:$AF$101)-MIN($AF$2:$AF$101))*99,30))),0))</x:f>
      </x:c>
      <x:c r="K73" s="20" t="str">
        <x:f>IF($B73="", "", ROUND(MAX(30, MIN(99, IFERROR((AG73-MIN($AG$2:$AG$101))/(MAX($AG$2:$AG$101)-MIN($AG$2:$AG$101))*99,30))),0))</x:f>
      </x:c>
      <x:c r="L73" s="20" t="str">
        <x:f>IF($B73="", "", ROUND(MAX(30, MIN(99, IFERROR((AH73-MIN($AH$2:$AH$101))/(MAX($AH$2:$AH$101)-MIN($AH$2:$AH$101))*99,30))),0))</x:f>
      </x:c>
      <x:c r="M73" s="20" t="str">
        <x:f>IF($B73="", "", ROUND(MAX(30, MIN(99, IFERROR((AI73-MIN($AI$2:$AI$101))/(MAX($AI$2:$AI$101)-MIN($AI$2:$AI$101))*99,30))),0))</x:f>
      </x:c>
      <x:c r="N73" s="20" t="str">
        <x:f>IF($B73="", "", ROUND(MAX(30, MIN(99, IFERROR((AJ73-MIN($AJ$2:$AJ$101))/(MAX($AJ$2:$AJ$101)-MIN($AJ$2:$AJ$101))*99,30))),0))</x:f>
      </x:c>
      <x:c r="O73" s="20" t="str">
        <x:f>IF($B73="", "", ROUND(MAX(30, MIN(99, IFERROR((AK73-MIN($AK$2:$AK$101))/(MAX($AK$2:$AK$101)-MIN($AK$2:$AK$101))*99,30))),0))</x:f>
      </x:c>
      <x:c r="P73" s="20" t="str">
        <x:f>IF($B73="", "", ROUND(MAX(30, MIN(99, IFERROR((AL73-MIN($AL$2:$AL$101))/(MAX($AL$2:$AL$101)-MIN($AL$2:$AL$101))*99,30))),0))</x:f>
      </x:c>
      <x:c r="Q73" s="20" t="str">
        <x:f>IF($B73="", "", ROUND(MAX(30, MIN(99, IFERROR((AM73-MIN($AM$2:$AM$101))/(MAX($AM$2:$AM$101)-MIN($AM$2:$AM$101))*99,30))),0))</x:f>
      </x:c>
      <x:c r="R73" s="20" t="str">
        <x:f>IF($B73="", "", ROUND(MAX(30, MIN(99, IFERROR((AN73-MIN($AN$2:$AN$101))/(MAX($AN$2:$AN$101)-MIN($AN$2:$AN$101))*99,30))),0))</x:f>
      </x:c>
      <x:c r="S73" s="20" t="str">
        <x:f>IF($B73="", "", ROUND(MAX(30, MIN(99, IFERROR((AO73-MIN($AO$2:$AO$101))/(MAX($AO$2:$AO$101)-MIN($AO$2:$AO$101))*99,30))),0))</x:f>
      </x:c>
      <x:c r="T73" s="20" t="str">
        <x:f>IF($B73="", "", ROUND(MAX(30, MIN(99, IFERROR((AP73-MIN($AP$2:$AP$101))/(MAX($AP$2:$AP$101)-MIN($AP$2:$AP$101))*99,30))),0))</x:f>
      </x:c>
      <x:c r="U73" s="20" t="str">
        <x:f>IF($B73="", "", ROUND(MAX(30, MIN(99, IFERROR((AQ73-MIN($AQ$2:$AQ$101))/(MAX($AQ$2:$AQ$101)-MIN($AQ$2:$AQ$101))*99,30))),0))</x:f>
      </x:c>
      <x:c r="V73" s="20" t="str">
        <x:f>IF($B73="", "", ROUND(MAX(30, MIN(99, IFERROR((AR73-MIN($AR$2:$AR$101))/(MAX($AR$2:$AR$101)-MIN($AR$2:$AR$101))*99,30))),0))</x:f>
      </x:c>
      <x:c r="W73" s="20" t="str">
        <x:f>IF($B73="", "", ROUND(MAX(30, MIN(99, IFERROR((AS73-MIN($AS$2:$AS$101))/(MAX($AS$2:$AS$101)-MIN($AS$2:$AS$101))*99,30))),0))</x:f>
      </x:c>
      <x:c r="X73" s="20" t="str">
        <x:f>IF($B73="", "", ROUND(MAX(30, MIN(99, IFERROR((AT73-MIN($AT$2:$AT$101))/(MAX($AT$2:$AT$101)-MIN($AT$2:$AT$101))*99,30))),0))</x:f>
      </x:c>
      <x:c r="Y73" s="20" t="str">
        <x:f>IF($B73="","",ROUND(AVERAGE(I73:X73),0))</x:f>
      </x:c>
      <x:c r="Z73" s="20" t="str">
        <x:f>IF($B73="","",ROUND(MAX(30,MIN(99,IFS(ISNUMBER(SEARCH("PG",UPPER(SUBSTITUTE($C73,"/","-")))),84,ISNUMBER(SEARCH("SG",UPPER(SUBSTITUTE($C73,"/","-")))),76,ISNUMBER(SEARCH("SF",UPPER(SUBSTITUTE($C73,"/","-")))),68,ISNUMBER(SEARCH("PF",UPPER(SUBSTITUTE($C73,"/","-")))),55,ISNUMBER(SEARCH("C",UPPER(SUBSTITUTE($C73,"/","-")))),42,TRUE,65)+((195-IFERROR($D73,195))*0.15)+((95-IFERROR($E73,95))*0.08))),0))</x:f>
      </x:c>
      <x:c r="AA73" s="20" t="str">
        <x:f>IF($B73="","",ROUND(MAX(30,MIN(99,IFS(ISNUMBER(SEARCH("PG",UPPER(SUBSTITUTE($C73,"/","-")))),84,ISNUMBER(SEARCH("SG",UPPER(SUBSTITUTE($C73,"/","-")))),76,ISNUMBER(SEARCH("SF",UPPER(SUBSTITUTE($C73,"/","-")))),68,ISNUMBER(SEARCH("PF",UPPER(SUBSTITUTE($C73,"/","-")))),55,ISNUMBER(SEARCH("C",UPPER(SUBSTITUTE($C73,"/","-")))),42,TRUE,65)+((195-IFERROR($D73,195))*0.18)+((95-IFERROR($E73,95))*0.10))),0))</x:f>
      </x:c>
      <x:c r="AB73" s="20" t="str">
        <x:f>IF($B73="","",ROUND(MAX(30,MIN(99,IFS(ISNUMBER(SEARCH("PG",UPPER(SUBSTITUTE($C73,"/","-")))),84,ISNUMBER(SEARCH("SG",UPPER(SUBSTITUTE($C73,"/","-")))),76,ISNUMBER(SEARCH("SF",UPPER(SUBSTITUTE($C73,"/","-")))),68,ISNUMBER(SEARCH("PF",UPPER(SUBSTITUTE($C73,"/","-")))),55,ISNUMBER(SEARCH("C",UPPER(SUBSTITUTE($C73,"/","-")))),42,TRUE,65)+2+((195-IFERROR($D73,195))*0.14)+((95-IFERROR($E73,95))*0.09))),0))</x:f>
      </x:c>
      <x:c r="AC73" s="20" t="str">
        <x:f>IF($B73="","",ROUND(MAX(30,MIN(99,IFS(ISNUMBER(SEARCH("C",UPPER(SUBSTITUTE($C73,"/","-")))),92,ISNUMBER(SEARCH("PF",UPPER(SUBSTITUTE($C73,"/","-")))),82,ISNUMBER(SEARCH("SF",UPPER(SUBSTITUTE($C73,"/","-")))),64,ISNUMBER(SEARCH("SG",UPPER(SUBSTITUTE($C73,"/","-")))),48,ISNUMBER(SEARCH("PG",UPPER(SUBSTITUTE($C73,"/","-")))),36,TRUE,60)+((IFERROR($E73,95)-95)*0.45)+((IFERROR($D73,195)-195)*0.10)+((IFERROR($F73,200)-200)*0.08))),0))</x:f>
      </x:c>
      <x:c r="AD73" s="20" t="str">
        <x:f>IF($B73="","",ROUND(MAX(30,MIN(99,65+((IFERROR($F73,200)-200)*0.22)+((IFERROR($D73,195)-195)*0.08)-((IFERROR($E73,95)-95)*0.07))),0))</x:f>
      </x:c>
      <x:c r="AE73" s="15" t="n">
        <x:f>IFERROR(='입력데이터'!S73,0)*0.4+IFERROR(='입력데이터'!AP73,0)*0.4+IFERROR(='입력데이터'!AO73,0)*0.5</x:f>
        <x:v>0</x:v>
      </x:c>
      <x:c r="AF73" s="15" t="n">
        <x:f>IFERROR(='입력데이터'!S73,0)*0.5+IFERROR(='입력데이터'!P73,0)*0.8+IFERROR(='입력데이터'!AG73,0)</x:f>
        <x:v>0</x:v>
      </x:c>
      <x:c r="AG73" s="15" t="n">
        <x:f>IFERROR(='입력데이터'!AJ73,0)*8+IFERROR(IFERROR(='입력데이터'!AJ73,0)/IFERROR(='입력데이터'!AK73,0),0)*30</x:f>
        <x:v>0</x:v>
      </x:c>
      <x:c r="AH73" s="15" t="n">
        <x:f>IFERROR(='입력데이터'!AJ73,0)*6+IFERROR(='입력데이터'!AH73,0)*4</x:f>
        <x:v>0</x:v>
      </x:c>
      <x:c r="AI73" s="15" t="n">
        <x:f>IFERROR(='입력데이터'!AP73,0)*0.4+IFERROR(='입력데이터'!AE73,0)*1.5+IFERROR(='입력데이터'!Q73,0)*1.5</x:f>
        <x:v>0</x:v>
      </x:c>
      <x:c r="AJ73" s="15" t="n">
        <x:f>MAX(0,IFERROR(='입력데이터'!P73,0)-IFERROR(='입력데이터'!Q73,0)*2-IFERROR(='입력데이터'!T73,0)*3-IFERROR(='입력데이터'!Z73,0))*1.5+IFERROR(='입력데이터'!Y73,0)*0.3</x:f>
        <x:v>0</x:v>
      </x:c>
      <x:c r="AK73" s="15" t="n">
        <x:f>IFERROR(='입력데이터'!V73,0)*0.6+IFERROR(='입력데이터'!U73,0)*2+IFERROR(='입력데이터'!T73,0)*3</x:f>
        <x:v>0</x:v>
      </x:c>
      <x:c r="AL73" s="15" t="n">
        <x:f>IFERROR(='입력데이터'!AB73,0)*0.7+IFERROR(='입력데이터'!AA73,0)*1.5</x:f>
        <x:v>0</x:v>
      </x:c>
      <x:c r="AM73" s="15" t="n">
        <x:f>IFERROR(='입력데이터'!AF73,0)*5+IFERROR(IFERROR(='입력데이터'!AF73,0)/IFERROR(='입력데이터'!AL73,0),0)*3+IFERROR(='입력데이터'!AT73,0)</x:f>
        <x:v>0</x:v>
      </x:c>
      <x:c r="AN73" s="15" t="n">
        <x:f>IFERROR(='입력데이터'!AF73,0)*3+IFERROR(='입력데이터'!AG73,0)*3+IFERROR(IFERROR(='입력데이터'!AF73,0)/IFERROR(='입력데이터'!AL73,0),0)*4</x:f>
        <x:v>0</x:v>
      </x:c>
      <x:c r="AO73" s="15" t="n">
        <x:f>IFERROR(='입력데이터'!AG73,0)*12+IFERROR(='입력데이터'!AU73,0)*6</x:f>
        <x:v>0</x:v>
      </x:c>
      <x:c r="AP73" s="15" t="n">
        <x:f>IFERROR(='입력데이터'!AH73,0)*14+IFERROR(='입력데이터'!AD73,0)</x:f>
        <x:v>0</x:v>
      </x:c>
      <x:c r="AQ73" s="15" t="n">
        <x:f>IFERROR(='입력데이터'!AC73,0)*10</x:f>
        <x:v>0</x:v>
      </x:c>
      <x:c r="AR73" s="15" t="n">
        <x:f>IFERROR(='입력데이터'!AD73,0)*7+IFERROR(='입력데이터'!AH73,0)*2</x:f>
        <x:v>0</x:v>
      </x:c>
      <x:c r="AS73" s="15" t="n">
        <x:f>IFERROR(='입력데이터'!AH73,0)*8+IFERROR(='입력데이터'!AD73,0)*2+IFERROR(='입력데이터'!AI73,0)*4</x:f>
        <x:v>0</x:v>
      </x:c>
      <x:c r="AT73" s="16" t="n">
        <x:f>IFERROR(='입력데이터'!AG73,0)*8+IFERROR(='입력데이터'!AI73,0)*5+IFERROR(='입력데이터'!AU73,0)*4</x:f>
        <x:v>0</x:v>
      </x:c>
    </x:row>
    <x:row r="74">
      <x:c r="A74" s="14" t="str">
        <x:f>IF('입력데이터'!$B74="","",'입력데이터'!A74)</x:f>
      </x:c>
      <x:c r="B74" s="15" t="str">
        <x:f>IF('입력데이터'!$B74="","",'입력데이터'!B74)</x:f>
      </x:c>
      <x:c r="C74" s="15" t="str">
        <x:f>IF('입력데이터'!$B74="","",'입력데이터'!K74)</x:f>
      </x:c>
      <x:c r="D74" s="15" t="str">
        <x:f>IF('입력데이터'!$B74="","",'입력데이터'!H74)</x:f>
      </x:c>
      <x:c r="E74" s="15" t="str">
        <x:f>IF('입력데이터'!$B74="","",'입력데이터'!I74)</x:f>
      </x:c>
      <x:c r="F74" s="15" t="str">
        <x:f>IF('입력데이터'!$B74="","",'입력데이터'!J74)</x:f>
      </x:c>
      <x:c r="G74" s="15" t="str">
        <x:f>IF('입력데이터'!$B74="","",'입력데이터'!L74)</x:f>
      </x:c>
      <x:c r="H74" s="15" t="str">
        <x:f>IF('입력데이터'!$B74="","",'입력데이터'!O74)</x:f>
      </x:c>
      <x:c r="I74" s="20" t="str">
        <x:f>IF($B74="", "", ROUND(MAX(30, MIN(99, IFERROR((AE74-MIN($AE$2:$AE$101))/(MAX($AE$2:$AE$101)-MIN($AE$2:$AE$101))*99,30))),0))</x:f>
      </x:c>
      <x:c r="J74" s="20" t="str">
        <x:f>IF($B74="", "", ROUND(MAX(30, MIN(99, IFERROR((AF74-MIN($AF$2:$AF$101))/(MAX($AF$2:$AF$101)-MIN($AF$2:$AF$101))*99,30))),0))</x:f>
      </x:c>
      <x:c r="K74" s="20" t="str">
        <x:f>IF($B74="", "", ROUND(MAX(30, MIN(99, IFERROR((AG74-MIN($AG$2:$AG$101))/(MAX($AG$2:$AG$101)-MIN($AG$2:$AG$101))*99,30))),0))</x:f>
      </x:c>
      <x:c r="L74" s="20" t="str">
        <x:f>IF($B74="", "", ROUND(MAX(30, MIN(99, IFERROR((AH74-MIN($AH$2:$AH$101))/(MAX($AH$2:$AH$101)-MIN($AH$2:$AH$101))*99,30))),0))</x:f>
      </x:c>
      <x:c r="M74" s="20" t="str">
        <x:f>IF($B74="", "", ROUND(MAX(30, MIN(99, IFERROR((AI74-MIN($AI$2:$AI$101))/(MAX($AI$2:$AI$101)-MIN($AI$2:$AI$101))*99,30))),0))</x:f>
      </x:c>
      <x:c r="N74" s="20" t="str">
        <x:f>IF($B74="", "", ROUND(MAX(30, MIN(99, IFERROR((AJ74-MIN($AJ$2:$AJ$101))/(MAX($AJ$2:$AJ$101)-MIN($AJ$2:$AJ$101))*99,30))),0))</x:f>
      </x:c>
      <x:c r="O74" s="20" t="str">
        <x:f>IF($B74="", "", ROUND(MAX(30, MIN(99, IFERROR((AK74-MIN($AK$2:$AK$101))/(MAX($AK$2:$AK$101)-MIN($AK$2:$AK$101))*99,30))),0))</x:f>
      </x:c>
      <x:c r="P74" s="20" t="str">
        <x:f>IF($B74="", "", ROUND(MAX(30, MIN(99, IFERROR((AL74-MIN($AL$2:$AL$101))/(MAX($AL$2:$AL$101)-MIN($AL$2:$AL$101))*99,30))),0))</x:f>
      </x:c>
      <x:c r="Q74" s="20" t="str">
        <x:f>IF($B74="", "", ROUND(MAX(30, MIN(99, IFERROR((AM74-MIN($AM$2:$AM$101))/(MAX($AM$2:$AM$101)-MIN($AM$2:$AM$101))*99,30))),0))</x:f>
      </x:c>
      <x:c r="R74" s="20" t="str">
        <x:f>IF($B74="", "", ROUND(MAX(30, MIN(99, IFERROR((AN74-MIN($AN$2:$AN$101))/(MAX($AN$2:$AN$101)-MIN($AN$2:$AN$101))*99,30))),0))</x:f>
      </x:c>
      <x:c r="S74" s="20" t="str">
        <x:f>IF($B74="", "", ROUND(MAX(30, MIN(99, IFERROR((AO74-MIN($AO$2:$AO$101))/(MAX($AO$2:$AO$101)-MIN($AO$2:$AO$101))*99,30))),0))</x:f>
      </x:c>
      <x:c r="T74" s="20" t="str">
        <x:f>IF($B74="", "", ROUND(MAX(30, MIN(99, IFERROR((AP74-MIN($AP$2:$AP$101))/(MAX($AP$2:$AP$101)-MIN($AP$2:$AP$101))*99,30))),0))</x:f>
      </x:c>
      <x:c r="U74" s="20" t="str">
        <x:f>IF($B74="", "", ROUND(MAX(30, MIN(99, IFERROR((AQ74-MIN($AQ$2:$AQ$101))/(MAX($AQ$2:$AQ$101)-MIN($AQ$2:$AQ$101))*99,30))),0))</x:f>
      </x:c>
      <x:c r="V74" s="20" t="str">
        <x:f>IF($B74="", "", ROUND(MAX(30, MIN(99, IFERROR((AR74-MIN($AR$2:$AR$101))/(MAX($AR$2:$AR$101)-MIN($AR$2:$AR$101))*99,30))),0))</x:f>
      </x:c>
      <x:c r="W74" s="20" t="str">
        <x:f>IF($B74="", "", ROUND(MAX(30, MIN(99, IFERROR((AS74-MIN($AS$2:$AS$101))/(MAX($AS$2:$AS$101)-MIN($AS$2:$AS$101))*99,30))),0))</x:f>
      </x:c>
      <x:c r="X74" s="20" t="str">
        <x:f>IF($B74="", "", ROUND(MAX(30, MIN(99, IFERROR((AT74-MIN($AT$2:$AT$101))/(MAX($AT$2:$AT$101)-MIN($AT$2:$AT$101))*99,30))),0))</x:f>
      </x:c>
      <x:c r="Y74" s="20" t="str">
        <x:f>IF($B74="","",ROUND(AVERAGE(I74:X74),0))</x:f>
      </x:c>
      <x:c r="Z74" s="20" t="str">
        <x:f>IF($B74="","",ROUND(MAX(30,MIN(99,IFS(ISNUMBER(SEARCH("PG",UPPER(SUBSTITUTE($C74,"/","-")))),84,ISNUMBER(SEARCH("SG",UPPER(SUBSTITUTE($C74,"/","-")))),76,ISNUMBER(SEARCH("SF",UPPER(SUBSTITUTE($C74,"/","-")))),68,ISNUMBER(SEARCH("PF",UPPER(SUBSTITUTE($C74,"/","-")))),55,ISNUMBER(SEARCH("C",UPPER(SUBSTITUTE($C74,"/","-")))),42,TRUE,65)+((195-IFERROR($D74,195))*0.15)+((95-IFERROR($E74,95))*0.08))),0))</x:f>
      </x:c>
      <x:c r="AA74" s="20" t="str">
        <x:f>IF($B74="","",ROUND(MAX(30,MIN(99,IFS(ISNUMBER(SEARCH("PG",UPPER(SUBSTITUTE($C74,"/","-")))),84,ISNUMBER(SEARCH("SG",UPPER(SUBSTITUTE($C74,"/","-")))),76,ISNUMBER(SEARCH("SF",UPPER(SUBSTITUTE($C74,"/","-")))),68,ISNUMBER(SEARCH("PF",UPPER(SUBSTITUTE($C74,"/","-")))),55,ISNUMBER(SEARCH("C",UPPER(SUBSTITUTE($C74,"/","-")))),42,TRUE,65)+((195-IFERROR($D74,195))*0.18)+((95-IFERROR($E74,95))*0.10))),0))</x:f>
      </x:c>
      <x:c r="AB74" s="20" t="str">
        <x:f>IF($B74="","",ROUND(MAX(30,MIN(99,IFS(ISNUMBER(SEARCH("PG",UPPER(SUBSTITUTE($C74,"/","-")))),84,ISNUMBER(SEARCH("SG",UPPER(SUBSTITUTE($C74,"/","-")))),76,ISNUMBER(SEARCH("SF",UPPER(SUBSTITUTE($C74,"/","-")))),68,ISNUMBER(SEARCH("PF",UPPER(SUBSTITUTE($C74,"/","-")))),55,ISNUMBER(SEARCH("C",UPPER(SUBSTITUTE($C74,"/","-")))),42,TRUE,65)+2+((195-IFERROR($D74,195))*0.14)+((95-IFERROR($E74,95))*0.09))),0))</x:f>
      </x:c>
      <x:c r="AC74" s="20" t="str">
        <x:f>IF($B74="","",ROUND(MAX(30,MIN(99,IFS(ISNUMBER(SEARCH("C",UPPER(SUBSTITUTE($C74,"/","-")))),92,ISNUMBER(SEARCH("PF",UPPER(SUBSTITUTE($C74,"/","-")))),82,ISNUMBER(SEARCH("SF",UPPER(SUBSTITUTE($C74,"/","-")))),64,ISNUMBER(SEARCH("SG",UPPER(SUBSTITUTE($C74,"/","-")))),48,ISNUMBER(SEARCH("PG",UPPER(SUBSTITUTE($C74,"/","-")))),36,TRUE,60)+((IFERROR($E74,95)-95)*0.45)+((IFERROR($D74,195)-195)*0.10)+((IFERROR($F74,200)-200)*0.08))),0))</x:f>
      </x:c>
      <x:c r="AD74" s="20" t="str">
        <x:f>IF($B74="","",ROUND(MAX(30,MIN(99,65+((IFERROR($F74,200)-200)*0.22)+((IFERROR($D74,195)-195)*0.08)-((IFERROR($E74,95)-95)*0.07))),0))</x:f>
      </x:c>
      <x:c r="AE74" s="15" t="n">
        <x:f>IFERROR(='입력데이터'!S74,0)*0.4+IFERROR(='입력데이터'!AP74,0)*0.4+IFERROR(='입력데이터'!AO74,0)*0.5</x:f>
        <x:v>0</x:v>
      </x:c>
      <x:c r="AF74" s="15" t="n">
        <x:f>IFERROR(='입력데이터'!S74,0)*0.5+IFERROR(='입력데이터'!P74,0)*0.8+IFERROR(='입력데이터'!AG74,0)</x:f>
        <x:v>0</x:v>
      </x:c>
      <x:c r="AG74" s="15" t="n">
        <x:f>IFERROR(='입력데이터'!AJ74,0)*8+IFERROR(IFERROR(='입력데이터'!AJ74,0)/IFERROR(='입력데이터'!AK74,0),0)*30</x:f>
        <x:v>0</x:v>
      </x:c>
      <x:c r="AH74" s="15" t="n">
        <x:f>IFERROR(='입력데이터'!AJ74,0)*6+IFERROR(='입력데이터'!AH74,0)*4</x:f>
        <x:v>0</x:v>
      </x:c>
      <x:c r="AI74" s="15" t="n">
        <x:f>IFERROR(='입력데이터'!AP74,0)*0.4+IFERROR(='입력데이터'!AE74,0)*1.5+IFERROR(='입력데이터'!Q74,0)*1.5</x:f>
        <x:v>0</x:v>
      </x:c>
      <x:c r="AJ74" s="15" t="n">
        <x:f>MAX(0,IFERROR(='입력데이터'!P74,0)-IFERROR(='입력데이터'!Q74,0)*2-IFERROR(='입력데이터'!T74,0)*3-IFERROR(='입력데이터'!Z74,0))*1.5+IFERROR(='입력데이터'!Y74,0)*0.3</x:f>
        <x:v>0</x:v>
      </x:c>
      <x:c r="AK74" s="15" t="n">
        <x:f>IFERROR(='입력데이터'!V74,0)*0.6+IFERROR(='입력데이터'!U74,0)*2+IFERROR(='입력데이터'!T74,0)*3</x:f>
        <x:v>0</x:v>
      </x:c>
      <x:c r="AL74" s="15" t="n">
        <x:f>IFERROR(='입력데이터'!AB74,0)*0.7+IFERROR(='입력데이터'!AA74,0)*1.5</x:f>
        <x:v>0</x:v>
      </x:c>
      <x:c r="AM74" s="15" t="n">
        <x:f>IFERROR(='입력데이터'!AF74,0)*5+IFERROR(IFERROR(='입력데이터'!AF74,0)/IFERROR(='입력데이터'!AL74,0),0)*3+IFERROR(='입력데이터'!AT74,0)</x:f>
        <x:v>0</x:v>
      </x:c>
      <x:c r="AN74" s="15" t="n">
        <x:f>IFERROR(='입력데이터'!AF74,0)*3+IFERROR(='입력데이터'!AG74,0)*3+IFERROR(IFERROR(='입력데이터'!AF74,0)/IFERROR(='입력데이터'!AL74,0),0)*4</x:f>
        <x:v>0</x:v>
      </x:c>
      <x:c r="AO74" s="15" t="n">
        <x:f>IFERROR(='입력데이터'!AG74,0)*12+IFERROR(='입력데이터'!AU74,0)*6</x:f>
        <x:v>0</x:v>
      </x:c>
      <x:c r="AP74" s="15" t="n">
        <x:f>IFERROR(='입력데이터'!AH74,0)*14+IFERROR(='입력데이터'!AD74,0)</x:f>
        <x:v>0</x:v>
      </x:c>
      <x:c r="AQ74" s="15" t="n">
        <x:f>IFERROR(='입력데이터'!AC74,0)*10</x:f>
        <x:v>0</x:v>
      </x:c>
      <x:c r="AR74" s="15" t="n">
        <x:f>IFERROR(='입력데이터'!AD74,0)*7+IFERROR(='입력데이터'!AH74,0)*2</x:f>
        <x:v>0</x:v>
      </x:c>
      <x:c r="AS74" s="15" t="n">
        <x:f>IFERROR(='입력데이터'!AH74,0)*8+IFERROR(='입력데이터'!AD74,0)*2+IFERROR(='입력데이터'!AI74,0)*4</x:f>
        <x:v>0</x:v>
      </x:c>
      <x:c r="AT74" s="16" t="n">
        <x:f>IFERROR(='입력데이터'!AG74,0)*8+IFERROR(='입력데이터'!AI74,0)*5+IFERROR(='입력데이터'!AU74,0)*4</x:f>
        <x:v>0</x:v>
      </x:c>
    </x:row>
    <x:row r="75">
      <x:c r="A75" s="14" t="str">
        <x:f>IF('입력데이터'!$B75="","",'입력데이터'!A75)</x:f>
      </x:c>
      <x:c r="B75" s="15" t="str">
        <x:f>IF('입력데이터'!$B75="","",'입력데이터'!B75)</x:f>
      </x:c>
      <x:c r="C75" s="15" t="str">
        <x:f>IF('입력데이터'!$B75="","",'입력데이터'!K75)</x:f>
      </x:c>
      <x:c r="D75" s="15" t="str">
        <x:f>IF('입력데이터'!$B75="","",'입력데이터'!H75)</x:f>
      </x:c>
      <x:c r="E75" s="15" t="str">
        <x:f>IF('입력데이터'!$B75="","",'입력데이터'!I75)</x:f>
      </x:c>
      <x:c r="F75" s="15" t="str">
        <x:f>IF('입력데이터'!$B75="","",'입력데이터'!J75)</x:f>
      </x:c>
      <x:c r="G75" s="15" t="str">
        <x:f>IF('입력데이터'!$B75="","",'입력데이터'!L75)</x:f>
      </x:c>
      <x:c r="H75" s="15" t="str">
        <x:f>IF('입력데이터'!$B75="","",'입력데이터'!O75)</x:f>
      </x:c>
      <x:c r="I75" s="20" t="str">
        <x:f>IF($B75="", "", ROUND(MAX(30, MIN(99, IFERROR((AE75-MIN($AE$2:$AE$101))/(MAX($AE$2:$AE$101)-MIN($AE$2:$AE$101))*99,30))),0))</x:f>
      </x:c>
      <x:c r="J75" s="20" t="str">
        <x:f>IF($B75="", "", ROUND(MAX(30, MIN(99, IFERROR((AF75-MIN($AF$2:$AF$101))/(MAX($AF$2:$AF$101)-MIN($AF$2:$AF$101))*99,30))),0))</x:f>
      </x:c>
      <x:c r="K75" s="20" t="str">
        <x:f>IF($B75="", "", ROUND(MAX(30, MIN(99, IFERROR((AG75-MIN($AG$2:$AG$101))/(MAX($AG$2:$AG$101)-MIN($AG$2:$AG$101))*99,30))),0))</x:f>
      </x:c>
      <x:c r="L75" s="20" t="str">
        <x:f>IF($B75="", "", ROUND(MAX(30, MIN(99, IFERROR((AH75-MIN($AH$2:$AH$101))/(MAX($AH$2:$AH$101)-MIN($AH$2:$AH$101))*99,30))),0))</x:f>
      </x:c>
      <x:c r="M75" s="20" t="str">
        <x:f>IF($B75="", "", ROUND(MAX(30, MIN(99, IFERROR((AI75-MIN($AI$2:$AI$101))/(MAX($AI$2:$AI$101)-MIN($AI$2:$AI$101))*99,30))),0))</x:f>
      </x:c>
      <x:c r="N75" s="20" t="str">
        <x:f>IF($B75="", "", ROUND(MAX(30, MIN(99, IFERROR((AJ75-MIN($AJ$2:$AJ$101))/(MAX($AJ$2:$AJ$101)-MIN($AJ$2:$AJ$101))*99,30))),0))</x:f>
      </x:c>
      <x:c r="O75" s="20" t="str">
        <x:f>IF($B75="", "", ROUND(MAX(30, MIN(99, IFERROR((AK75-MIN($AK$2:$AK$101))/(MAX($AK$2:$AK$101)-MIN($AK$2:$AK$101))*99,30))),0))</x:f>
      </x:c>
      <x:c r="P75" s="20" t="str">
        <x:f>IF($B75="", "", ROUND(MAX(30, MIN(99, IFERROR((AL75-MIN($AL$2:$AL$101))/(MAX($AL$2:$AL$101)-MIN($AL$2:$AL$101))*99,30))),0))</x:f>
      </x:c>
      <x:c r="Q75" s="20" t="str">
        <x:f>IF($B75="", "", ROUND(MAX(30, MIN(99, IFERROR((AM75-MIN($AM$2:$AM$101))/(MAX($AM$2:$AM$101)-MIN($AM$2:$AM$101))*99,30))),0))</x:f>
      </x:c>
      <x:c r="R75" s="20" t="str">
        <x:f>IF($B75="", "", ROUND(MAX(30, MIN(99, IFERROR((AN75-MIN($AN$2:$AN$101))/(MAX($AN$2:$AN$101)-MIN($AN$2:$AN$101))*99,30))),0))</x:f>
      </x:c>
      <x:c r="S75" s="20" t="str">
        <x:f>IF($B75="", "", ROUND(MAX(30, MIN(99, IFERROR((AO75-MIN($AO$2:$AO$101))/(MAX($AO$2:$AO$101)-MIN($AO$2:$AO$101))*99,30))),0))</x:f>
      </x:c>
      <x:c r="T75" s="20" t="str">
        <x:f>IF($B75="", "", ROUND(MAX(30, MIN(99, IFERROR((AP75-MIN($AP$2:$AP$101))/(MAX($AP$2:$AP$101)-MIN($AP$2:$AP$101))*99,30))),0))</x:f>
      </x:c>
      <x:c r="U75" s="20" t="str">
        <x:f>IF($B75="", "", ROUND(MAX(30, MIN(99, IFERROR((AQ75-MIN($AQ$2:$AQ$101))/(MAX($AQ$2:$AQ$101)-MIN($AQ$2:$AQ$101))*99,30))),0))</x:f>
      </x:c>
      <x:c r="V75" s="20" t="str">
        <x:f>IF($B75="", "", ROUND(MAX(30, MIN(99, IFERROR((AR75-MIN($AR$2:$AR$101))/(MAX($AR$2:$AR$101)-MIN($AR$2:$AR$101))*99,30))),0))</x:f>
      </x:c>
      <x:c r="W75" s="20" t="str">
        <x:f>IF($B75="", "", ROUND(MAX(30, MIN(99, IFERROR((AS75-MIN($AS$2:$AS$101))/(MAX($AS$2:$AS$101)-MIN($AS$2:$AS$101))*99,30))),0))</x:f>
      </x:c>
      <x:c r="X75" s="20" t="str">
        <x:f>IF($B75="", "", ROUND(MAX(30, MIN(99, IFERROR((AT75-MIN($AT$2:$AT$101))/(MAX($AT$2:$AT$101)-MIN($AT$2:$AT$101))*99,30))),0))</x:f>
      </x:c>
      <x:c r="Y75" s="20" t="str">
        <x:f>IF($B75="","",ROUND(AVERAGE(I75:X75),0))</x:f>
      </x:c>
      <x:c r="Z75" s="20" t="str">
        <x:f>IF($B75="","",ROUND(MAX(30,MIN(99,IFS(ISNUMBER(SEARCH("PG",UPPER(SUBSTITUTE($C75,"/","-")))),84,ISNUMBER(SEARCH("SG",UPPER(SUBSTITUTE($C75,"/","-")))),76,ISNUMBER(SEARCH("SF",UPPER(SUBSTITUTE($C75,"/","-")))),68,ISNUMBER(SEARCH("PF",UPPER(SUBSTITUTE($C75,"/","-")))),55,ISNUMBER(SEARCH("C",UPPER(SUBSTITUTE($C75,"/","-")))),42,TRUE,65)+((195-IFERROR($D75,195))*0.15)+((95-IFERROR($E75,95))*0.08))),0))</x:f>
      </x:c>
      <x:c r="AA75" s="20" t="str">
        <x:f>IF($B75="","",ROUND(MAX(30,MIN(99,IFS(ISNUMBER(SEARCH("PG",UPPER(SUBSTITUTE($C75,"/","-")))),84,ISNUMBER(SEARCH("SG",UPPER(SUBSTITUTE($C75,"/","-")))),76,ISNUMBER(SEARCH("SF",UPPER(SUBSTITUTE($C75,"/","-")))),68,ISNUMBER(SEARCH("PF",UPPER(SUBSTITUTE($C75,"/","-")))),55,ISNUMBER(SEARCH("C",UPPER(SUBSTITUTE($C75,"/","-")))),42,TRUE,65)+((195-IFERROR($D75,195))*0.18)+((95-IFERROR($E75,95))*0.10))),0))</x:f>
      </x:c>
      <x:c r="AB75" s="20" t="str">
        <x:f>IF($B75="","",ROUND(MAX(30,MIN(99,IFS(ISNUMBER(SEARCH("PG",UPPER(SUBSTITUTE($C75,"/","-")))),84,ISNUMBER(SEARCH("SG",UPPER(SUBSTITUTE($C75,"/","-")))),76,ISNUMBER(SEARCH("SF",UPPER(SUBSTITUTE($C75,"/","-")))),68,ISNUMBER(SEARCH("PF",UPPER(SUBSTITUTE($C75,"/","-")))),55,ISNUMBER(SEARCH("C",UPPER(SUBSTITUTE($C75,"/","-")))),42,TRUE,65)+2+((195-IFERROR($D75,195))*0.14)+((95-IFERROR($E75,95))*0.09))),0))</x:f>
      </x:c>
      <x:c r="AC75" s="20" t="str">
        <x:f>IF($B75="","",ROUND(MAX(30,MIN(99,IFS(ISNUMBER(SEARCH("C",UPPER(SUBSTITUTE($C75,"/","-")))),92,ISNUMBER(SEARCH("PF",UPPER(SUBSTITUTE($C75,"/","-")))),82,ISNUMBER(SEARCH("SF",UPPER(SUBSTITUTE($C75,"/","-")))),64,ISNUMBER(SEARCH("SG",UPPER(SUBSTITUTE($C75,"/","-")))),48,ISNUMBER(SEARCH("PG",UPPER(SUBSTITUTE($C75,"/","-")))),36,TRUE,60)+((IFERROR($E75,95)-95)*0.45)+((IFERROR($D75,195)-195)*0.10)+((IFERROR($F75,200)-200)*0.08))),0))</x:f>
      </x:c>
      <x:c r="AD75" s="20" t="str">
        <x:f>IF($B75="","",ROUND(MAX(30,MIN(99,65+((IFERROR($F75,200)-200)*0.22)+((IFERROR($D75,195)-195)*0.08)-((IFERROR($E75,95)-95)*0.07))),0))</x:f>
      </x:c>
      <x:c r="AE75" s="15" t="n">
        <x:f>IFERROR(='입력데이터'!S75,0)*0.4+IFERROR(='입력데이터'!AP75,0)*0.4+IFERROR(='입력데이터'!AO75,0)*0.5</x:f>
        <x:v>0</x:v>
      </x:c>
      <x:c r="AF75" s="15" t="n">
        <x:f>IFERROR(='입력데이터'!S75,0)*0.5+IFERROR(='입력데이터'!P75,0)*0.8+IFERROR(='입력데이터'!AG75,0)</x:f>
        <x:v>0</x:v>
      </x:c>
      <x:c r="AG75" s="15" t="n">
        <x:f>IFERROR(='입력데이터'!AJ75,0)*8+IFERROR(IFERROR(='입력데이터'!AJ75,0)/IFERROR(='입력데이터'!AK75,0),0)*30</x:f>
        <x:v>0</x:v>
      </x:c>
      <x:c r="AH75" s="15" t="n">
        <x:f>IFERROR(='입력데이터'!AJ75,0)*6+IFERROR(='입력데이터'!AH75,0)*4</x:f>
        <x:v>0</x:v>
      </x:c>
      <x:c r="AI75" s="15" t="n">
        <x:f>IFERROR(='입력데이터'!AP75,0)*0.4+IFERROR(='입력데이터'!AE75,0)*1.5+IFERROR(='입력데이터'!Q75,0)*1.5</x:f>
        <x:v>0</x:v>
      </x:c>
      <x:c r="AJ75" s="15" t="n">
        <x:f>MAX(0,IFERROR(='입력데이터'!P75,0)-IFERROR(='입력데이터'!Q75,0)*2-IFERROR(='입력데이터'!T75,0)*3-IFERROR(='입력데이터'!Z75,0))*1.5+IFERROR(='입력데이터'!Y75,0)*0.3</x:f>
        <x:v>0</x:v>
      </x:c>
      <x:c r="AK75" s="15" t="n">
        <x:f>IFERROR(='입력데이터'!V75,0)*0.6+IFERROR(='입력데이터'!U75,0)*2+IFERROR(='입력데이터'!T75,0)*3</x:f>
        <x:v>0</x:v>
      </x:c>
      <x:c r="AL75" s="15" t="n">
        <x:f>IFERROR(='입력데이터'!AB75,0)*0.7+IFERROR(='입력데이터'!AA75,0)*1.5</x:f>
        <x:v>0</x:v>
      </x:c>
      <x:c r="AM75" s="15" t="n">
        <x:f>IFERROR(='입력데이터'!AF75,0)*5+IFERROR(IFERROR(='입력데이터'!AF75,0)/IFERROR(='입력데이터'!AL75,0),0)*3+IFERROR(='입력데이터'!AT75,0)</x:f>
        <x:v>0</x:v>
      </x:c>
      <x:c r="AN75" s="15" t="n">
        <x:f>IFERROR(='입력데이터'!AF75,0)*3+IFERROR(='입력데이터'!AG75,0)*3+IFERROR(IFERROR(='입력데이터'!AF75,0)/IFERROR(='입력데이터'!AL75,0),0)*4</x:f>
        <x:v>0</x:v>
      </x:c>
      <x:c r="AO75" s="15" t="n">
        <x:f>IFERROR(='입력데이터'!AG75,0)*12+IFERROR(='입력데이터'!AU75,0)*6</x:f>
        <x:v>0</x:v>
      </x:c>
      <x:c r="AP75" s="15" t="n">
        <x:f>IFERROR(='입력데이터'!AH75,0)*14+IFERROR(='입력데이터'!AD75,0)</x:f>
        <x:v>0</x:v>
      </x:c>
      <x:c r="AQ75" s="15" t="n">
        <x:f>IFERROR(='입력데이터'!AC75,0)*10</x:f>
        <x:v>0</x:v>
      </x:c>
      <x:c r="AR75" s="15" t="n">
        <x:f>IFERROR(='입력데이터'!AD75,0)*7+IFERROR(='입력데이터'!AH75,0)*2</x:f>
        <x:v>0</x:v>
      </x:c>
      <x:c r="AS75" s="15" t="n">
        <x:f>IFERROR(='입력데이터'!AH75,0)*8+IFERROR(='입력데이터'!AD75,0)*2+IFERROR(='입력데이터'!AI75,0)*4</x:f>
        <x:v>0</x:v>
      </x:c>
      <x:c r="AT75" s="16" t="n">
        <x:f>IFERROR(='입력데이터'!AG75,0)*8+IFERROR(='입력데이터'!AI75,0)*5+IFERROR(='입력데이터'!AU75,0)*4</x:f>
        <x:v>0</x:v>
      </x:c>
    </x:row>
    <x:row r="76">
      <x:c r="A76" s="14" t="str">
        <x:f>IF('입력데이터'!$B76="","",'입력데이터'!A76)</x:f>
      </x:c>
      <x:c r="B76" s="15" t="str">
        <x:f>IF('입력데이터'!$B76="","",'입력데이터'!B76)</x:f>
      </x:c>
      <x:c r="C76" s="15" t="str">
        <x:f>IF('입력데이터'!$B76="","",'입력데이터'!K76)</x:f>
      </x:c>
      <x:c r="D76" s="15" t="str">
        <x:f>IF('입력데이터'!$B76="","",'입력데이터'!H76)</x:f>
      </x:c>
      <x:c r="E76" s="15" t="str">
        <x:f>IF('입력데이터'!$B76="","",'입력데이터'!I76)</x:f>
      </x:c>
      <x:c r="F76" s="15" t="str">
        <x:f>IF('입력데이터'!$B76="","",'입력데이터'!J76)</x:f>
      </x:c>
      <x:c r="G76" s="15" t="str">
        <x:f>IF('입력데이터'!$B76="","",'입력데이터'!L76)</x:f>
      </x:c>
      <x:c r="H76" s="15" t="str">
        <x:f>IF('입력데이터'!$B76="","",'입력데이터'!O76)</x:f>
      </x:c>
      <x:c r="I76" s="20" t="str">
        <x:f>IF($B76="", "", ROUND(MAX(30, MIN(99, IFERROR((AE76-MIN($AE$2:$AE$101))/(MAX($AE$2:$AE$101)-MIN($AE$2:$AE$101))*99,30))),0))</x:f>
      </x:c>
      <x:c r="J76" s="20" t="str">
        <x:f>IF($B76="", "", ROUND(MAX(30, MIN(99, IFERROR((AF76-MIN($AF$2:$AF$101))/(MAX($AF$2:$AF$101)-MIN($AF$2:$AF$101))*99,30))),0))</x:f>
      </x:c>
      <x:c r="K76" s="20" t="str">
        <x:f>IF($B76="", "", ROUND(MAX(30, MIN(99, IFERROR((AG76-MIN($AG$2:$AG$101))/(MAX($AG$2:$AG$101)-MIN($AG$2:$AG$101))*99,30))),0))</x:f>
      </x:c>
      <x:c r="L76" s="20" t="str">
        <x:f>IF($B76="", "", ROUND(MAX(30, MIN(99, IFERROR((AH76-MIN($AH$2:$AH$101))/(MAX($AH$2:$AH$101)-MIN($AH$2:$AH$101))*99,30))),0))</x:f>
      </x:c>
      <x:c r="M76" s="20" t="str">
        <x:f>IF($B76="", "", ROUND(MAX(30, MIN(99, IFERROR((AI76-MIN($AI$2:$AI$101))/(MAX($AI$2:$AI$101)-MIN($AI$2:$AI$101))*99,30))),0))</x:f>
      </x:c>
      <x:c r="N76" s="20" t="str">
        <x:f>IF($B76="", "", ROUND(MAX(30, MIN(99, IFERROR((AJ76-MIN($AJ$2:$AJ$101))/(MAX($AJ$2:$AJ$101)-MIN($AJ$2:$AJ$101))*99,30))),0))</x:f>
      </x:c>
      <x:c r="O76" s="20" t="str">
        <x:f>IF($B76="", "", ROUND(MAX(30, MIN(99, IFERROR((AK76-MIN($AK$2:$AK$101))/(MAX($AK$2:$AK$101)-MIN($AK$2:$AK$101))*99,30))),0))</x:f>
      </x:c>
      <x:c r="P76" s="20" t="str">
        <x:f>IF($B76="", "", ROUND(MAX(30, MIN(99, IFERROR((AL76-MIN($AL$2:$AL$101))/(MAX($AL$2:$AL$101)-MIN($AL$2:$AL$101))*99,30))),0))</x:f>
      </x:c>
      <x:c r="Q76" s="20" t="str">
        <x:f>IF($B76="", "", ROUND(MAX(30, MIN(99, IFERROR((AM76-MIN($AM$2:$AM$101))/(MAX($AM$2:$AM$101)-MIN($AM$2:$AM$101))*99,30))),0))</x:f>
      </x:c>
      <x:c r="R76" s="20" t="str">
        <x:f>IF($B76="", "", ROUND(MAX(30, MIN(99, IFERROR((AN76-MIN($AN$2:$AN$101))/(MAX($AN$2:$AN$101)-MIN($AN$2:$AN$101))*99,30))),0))</x:f>
      </x:c>
      <x:c r="S76" s="20" t="str">
        <x:f>IF($B76="", "", ROUND(MAX(30, MIN(99, IFERROR((AO76-MIN($AO$2:$AO$101))/(MAX($AO$2:$AO$101)-MIN($AO$2:$AO$101))*99,30))),0))</x:f>
      </x:c>
      <x:c r="T76" s="20" t="str">
        <x:f>IF($B76="", "", ROUND(MAX(30, MIN(99, IFERROR((AP76-MIN($AP$2:$AP$101))/(MAX($AP$2:$AP$101)-MIN($AP$2:$AP$101))*99,30))),0))</x:f>
      </x:c>
      <x:c r="U76" s="20" t="str">
        <x:f>IF($B76="", "", ROUND(MAX(30, MIN(99, IFERROR((AQ76-MIN($AQ$2:$AQ$101))/(MAX($AQ$2:$AQ$101)-MIN($AQ$2:$AQ$101))*99,30))),0))</x:f>
      </x:c>
      <x:c r="V76" s="20" t="str">
        <x:f>IF($B76="", "", ROUND(MAX(30, MIN(99, IFERROR((AR76-MIN($AR$2:$AR$101))/(MAX($AR$2:$AR$101)-MIN($AR$2:$AR$101))*99,30))),0))</x:f>
      </x:c>
      <x:c r="W76" s="20" t="str">
        <x:f>IF($B76="", "", ROUND(MAX(30, MIN(99, IFERROR((AS76-MIN($AS$2:$AS$101))/(MAX($AS$2:$AS$101)-MIN($AS$2:$AS$101))*99,30))),0))</x:f>
      </x:c>
      <x:c r="X76" s="20" t="str">
        <x:f>IF($B76="", "", ROUND(MAX(30, MIN(99, IFERROR((AT76-MIN($AT$2:$AT$101))/(MAX($AT$2:$AT$101)-MIN($AT$2:$AT$101))*99,30))),0))</x:f>
      </x:c>
      <x:c r="Y76" s="20" t="str">
        <x:f>IF($B76="","",ROUND(AVERAGE(I76:X76),0))</x:f>
      </x:c>
      <x:c r="Z76" s="20" t="str">
        <x:f>IF($B76="","",ROUND(MAX(30,MIN(99,IFS(ISNUMBER(SEARCH("PG",UPPER(SUBSTITUTE($C76,"/","-")))),84,ISNUMBER(SEARCH("SG",UPPER(SUBSTITUTE($C76,"/","-")))),76,ISNUMBER(SEARCH("SF",UPPER(SUBSTITUTE($C76,"/","-")))),68,ISNUMBER(SEARCH("PF",UPPER(SUBSTITUTE($C76,"/","-")))),55,ISNUMBER(SEARCH("C",UPPER(SUBSTITUTE($C76,"/","-")))),42,TRUE,65)+((195-IFERROR($D76,195))*0.15)+((95-IFERROR($E76,95))*0.08))),0))</x:f>
      </x:c>
      <x:c r="AA76" s="20" t="str">
        <x:f>IF($B76="","",ROUND(MAX(30,MIN(99,IFS(ISNUMBER(SEARCH("PG",UPPER(SUBSTITUTE($C76,"/","-")))),84,ISNUMBER(SEARCH("SG",UPPER(SUBSTITUTE($C76,"/","-")))),76,ISNUMBER(SEARCH("SF",UPPER(SUBSTITUTE($C76,"/","-")))),68,ISNUMBER(SEARCH("PF",UPPER(SUBSTITUTE($C76,"/","-")))),55,ISNUMBER(SEARCH("C",UPPER(SUBSTITUTE($C76,"/","-")))),42,TRUE,65)+((195-IFERROR($D76,195))*0.18)+((95-IFERROR($E76,95))*0.10))),0))</x:f>
      </x:c>
      <x:c r="AB76" s="20" t="str">
        <x:f>IF($B76="","",ROUND(MAX(30,MIN(99,IFS(ISNUMBER(SEARCH("PG",UPPER(SUBSTITUTE($C76,"/","-")))),84,ISNUMBER(SEARCH("SG",UPPER(SUBSTITUTE($C76,"/","-")))),76,ISNUMBER(SEARCH("SF",UPPER(SUBSTITUTE($C76,"/","-")))),68,ISNUMBER(SEARCH("PF",UPPER(SUBSTITUTE($C76,"/","-")))),55,ISNUMBER(SEARCH("C",UPPER(SUBSTITUTE($C76,"/","-")))),42,TRUE,65)+2+((195-IFERROR($D76,195))*0.14)+((95-IFERROR($E76,95))*0.09))),0))</x:f>
      </x:c>
      <x:c r="AC76" s="20" t="str">
        <x:f>IF($B76="","",ROUND(MAX(30,MIN(99,IFS(ISNUMBER(SEARCH("C",UPPER(SUBSTITUTE($C76,"/","-")))),92,ISNUMBER(SEARCH("PF",UPPER(SUBSTITUTE($C76,"/","-")))),82,ISNUMBER(SEARCH("SF",UPPER(SUBSTITUTE($C76,"/","-")))),64,ISNUMBER(SEARCH("SG",UPPER(SUBSTITUTE($C76,"/","-")))),48,ISNUMBER(SEARCH("PG",UPPER(SUBSTITUTE($C76,"/","-")))),36,TRUE,60)+((IFERROR($E76,95)-95)*0.45)+((IFERROR($D76,195)-195)*0.10)+((IFERROR($F76,200)-200)*0.08))),0))</x:f>
      </x:c>
      <x:c r="AD76" s="20" t="str">
        <x:f>IF($B76="","",ROUND(MAX(30,MIN(99,65+((IFERROR($F76,200)-200)*0.22)+((IFERROR($D76,195)-195)*0.08)-((IFERROR($E76,95)-95)*0.07))),0))</x:f>
      </x:c>
      <x:c r="AE76" s="15" t="n">
        <x:f>IFERROR(='입력데이터'!S76,0)*0.4+IFERROR(='입력데이터'!AP76,0)*0.4+IFERROR(='입력데이터'!AO76,0)*0.5</x:f>
        <x:v>0</x:v>
      </x:c>
      <x:c r="AF76" s="15" t="n">
        <x:f>IFERROR(='입력데이터'!S76,0)*0.5+IFERROR(='입력데이터'!P76,0)*0.8+IFERROR(='입력데이터'!AG76,0)</x:f>
        <x:v>0</x:v>
      </x:c>
      <x:c r="AG76" s="15" t="n">
        <x:f>IFERROR(='입력데이터'!AJ76,0)*8+IFERROR(IFERROR(='입력데이터'!AJ76,0)/IFERROR(='입력데이터'!AK76,0),0)*30</x:f>
        <x:v>0</x:v>
      </x:c>
      <x:c r="AH76" s="15" t="n">
        <x:f>IFERROR(='입력데이터'!AJ76,0)*6+IFERROR(='입력데이터'!AH76,0)*4</x:f>
        <x:v>0</x:v>
      </x:c>
      <x:c r="AI76" s="15" t="n">
        <x:f>IFERROR(='입력데이터'!AP76,0)*0.4+IFERROR(='입력데이터'!AE76,0)*1.5+IFERROR(='입력데이터'!Q76,0)*1.5</x:f>
        <x:v>0</x:v>
      </x:c>
      <x:c r="AJ76" s="15" t="n">
        <x:f>MAX(0,IFERROR(='입력데이터'!P76,0)-IFERROR(='입력데이터'!Q76,0)*2-IFERROR(='입력데이터'!T76,0)*3-IFERROR(='입력데이터'!Z76,0))*1.5+IFERROR(='입력데이터'!Y76,0)*0.3</x:f>
        <x:v>0</x:v>
      </x:c>
      <x:c r="AK76" s="15" t="n">
        <x:f>IFERROR(='입력데이터'!V76,0)*0.6+IFERROR(='입력데이터'!U76,0)*2+IFERROR(='입력데이터'!T76,0)*3</x:f>
        <x:v>0</x:v>
      </x:c>
      <x:c r="AL76" s="15" t="n">
        <x:f>IFERROR(='입력데이터'!AB76,0)*0.7+IFERROR(='입력데이터'!AA76,0)*1.5</x:f>
        <x:v>0</x:v>
      </x:c>
      <x:c r="AM76" s="15" t="n">
        <x:f>IFERROR(='입력데이터'!AF76,0)*5+IFERROR(IFERROR(='입력데이터'!AF76,0)/IFERROR(='입력데이터'!AL76,0),0)*3+IFERROR(='입력데이터'!AT76,0)</x:f>
        <x:v>0</x:v>
      </x:c>
      <x:c r="AN76" s="15" t="n">
        <x:f>IFERROR(='입력데이터'!AF76,0)*3+IFERROR(='입력데이터'!AG76,0)*3+IFERROR(IFERROR(='입력데이터'!AF76,0)/IFERROR(='입력데이터'!AL76,0),0)*4</x:f>
        <x:v>0</x:v>
      </x:c>
      <x:c r="AO76" s="15" t="n">
        <x:f>IFERROR(='입력데이터'!AG76,0)*12+IFERROR(='입력데이터'!AU76,0)*6</x:f>
        <x:v>0</x:v>
      </x:c>
      <x:c r="AP76" s="15" t="n">
        <x:f>IFERROR(='입력데이터'!AH76,0)*14+IFERROR(='입력데이터'!AD76,0)</x:f>
        <x:v>0</x:v>
      </x:c>
      <x:c r="AQ76" s="15" t="n">
        <x:f>IFERROR(='입력데이터'!AC76,0)*10</x:f>
        <x:v>0</x:v>
      </x:c>
      <x:c r="AR76" s="15" t="n">
        <x:f>IFERROR(='입력데이터'!AD76,0)*7+IFERROR(='입력데이터'!AH76,0)*2</x:f>
        <x:v>0</x:v>
      </x:c>
      <x:c r="AS76" s="15" t="n">
        <x:f>IFERROR(='입력데이터'!AH76,0)*8+IFERROR(='입력데이터'!AD76,0)*2+IFERROR(='입력데이터'!AI76,0)*4</x:f>
        <x:v>0</x:v>
      </x:c>
      <x:c r="AT76" s="16" t="n">
        <x:f>IFERROR(='입력데이터'!AG76,0)*8+IFERROR(='입력데이터'!AI76,0)*5+IFERROR(='입력데이터'!AU76,0)*4</x:f>
        <x:v>0</x:v>
      </x:c>
    </x:row>
    <x:row r="77">
      <x:c r="A77" s="14" t="str">
        <x:f>IF('입력데이터'!$B77="","",'입력데이터'!A77)</x:f>
      </x:c>
      <x:c r="B77" s="15" t="str">
        <x:f>IF('입력데이터'!$B77="","",'입력데이터'!B77)</x:f>
      </x:c>
      <x:c r="C77" s="15" t="str">
        <x:f>IF('입력데이터'!$B77="","",'입력데이터'!K77)</x:f>
      </x:c>
      <x:c r="D77" s="15" t="str">
        <x:f>IF('입력데이터'!$B77="","",'입력데이터'!H77)</x:f>
      </x:c>
      <x:c r="E77" s="15" t="str">
        <x:f>IF('입력데이터'!$B77="","",'입력데이터'!I77)</x:f>
      </x:c>
      <x:c r="F77" s="15" t="str">
        <x:f>IF('입력데이터'!$B77="","",'입력데이터'!J77)</x:f>
      </x:c>
      <x:c r="G77" s="15" t="str">
        <x:f>IF('입력데이터'!$B77="","",'입력데이터'!L77)</x:f>
      </x:c>
      <x:c r="H77" s="15" t="str">
        <x:f>IF('입력데이터'!$B77="","",'입력데이터'!O77)</x:f>
      </x:c>
      <x:c r="I77" s="20" t="str">
        <x:f>IF($B77="", "", ROUND(MAX(30, MIN(99, IFERROR((AE77-MIN($AE$2:$AE$101))/(MAX($AE$2:$AE$101)-MIN($AE$2:$AE$101))*99,30))),0))</x:f>
      </x:c>
      <x:c r="J77" s="20" t="str">
        <x:f>IF($B77="", "", ROUND(MAX(30, MIN(99, IFERROR((AF77-MIN($AF$2:$AF$101))/(MAX($AF$2:$AF$101)-MIN($AF$2:$AF$101))*99,30))),0))</x:f>
      </x:c>
      <x:c r="K77" s="20" t="str">
        <x:f>IF($B77="", "", ROUND(MAX(30, MIN(99, IFERROR((AG77-MIN($AG$2:$AG$101))/(MAX($AG$2:$AG$101)-MIN($AG$2:$AG$101))*99,30))),0))</x:f>
      </x:c>
      <x:c r="L77" s="20" t="str">
        <x:f>IF($B77="", "", ROUND(MAX(30, MIN(99, IFERROR((AH77-MIN($AH$2:$AH$101))/(MAX($AH$2:$AH$101)-MIN($AH$2:$AH$101))*99,30))),0))</x:f>
      </x:c>
      <x:c r="M77" s="20" t="str">
        <x:f>IF($B77="", "", ROUND(MAX(30, MIN(99, IFERROR((AI77-MIN($AI$2:$AI$101))/(MAX($AI$2:$AI$101)-MIN($AI$2:$AI$101))*99,30))),0))</x:f>
      </x:c>
      <x:c r="N77" s="20" t="str">
        <x:f>IF($B77="", "", ROUND(MAX(30, MIN(99, IFERROR((AJ77-MIN($AJ$2:$AJ$101))/(MAX($AJ$2:$AJ$101)-MIN($AJ$2:$AJ$101))*99,30))),0))</x:f>
      </x:c>
      <x:c r="O77" s="20" t="str">
        <x:f>IF($B77="", "", ROUND(MAX(30, MIN(99, IFERROR((AK77-MIN($AK$2:$AK$101))/(MAX($AK$2:$AK$101)-MIN($AK$2:$AK$101))*99,30))),0))</x:f>
      </x:c>
      <x:c r="P77" s="20" t="str">
        <x:f>IF($B77="", "", ROUND(MAX(30, MIN(99, IFERROR((AL77-MIN($AL$2:$AL$101))/(MAX($AL$2:$AL$101)-MIN($AL$2:$AL$101))*99,30))),0))</x:f>
      </x:c>
      <x:c r="Q77" s="20" t="str">
        <x:f>IF($B77="", "", ROUND(MAX(30, MIN(99, IFERROR((AM77-MIN($AM$2:$AM$101))/(MAX($AM$2:$AM$101)-MIN($AM$2:$AM$101))*99,30))),0))</x:f>
      </x:c>
      <x:c r="R77" s="20" t="str">
        <x:f>IF($B77="", "", ROUND(MAX(30, MIN(99, IFERROR((AN77-MIN($AN$2:$AN$101))/(MAX($AN$2:$AN$101)-MIN($AN$2:$AN$101))*99,30))),0))</x:f>
      </x:c>
      <x:c r="S77" s="20" t="str">
        <x:f>IF($B77="", "", ROUND(MAX(30, MIN(99, IFERROR((AO77-MIN($AO$2:$AO$101))/(MAX($AO$2:$AO$101)-MIN($AO$2:$AO$101))*99,30))),0))</x:f>
      </x:c>
      <x:c r="T77" s="20" t="str">
        <x:f>IF($B77="", "", ROUND(MAX(30, MIN(99, IFERROR((AP77-MIN($AP$2:$AP$101))/(MAX($AP$2:$AP$101)-MIN($AP$2:$AP$101))*99,30))),0))</x:f>
      </x:c>
      <x:c r="U77" s="20" t="str">
        <x:f>IF($B77="", "", ROUND(MAX(30, MIN(99, IFERROR((AQ77-MIN($AQ$2:$AQ$101))/(MAX($AQ$2:$AQ$101)-MIN($AQ$2:$AQ$101))*99,30))),0))</x:f>
      </x:c>
      <x:c r="V77" s="20" t="str">
        <x:f>IF($B77="", "", ROUND(MAX(30, MIN(99, IFERROR((AR77-MIN($AR$2:$AR$101))/(MAX($AR$2:$AR$101)-MIN($AR$2:$AR$101))*99,30))),0))</x:f>
      </x:c>
      <x:c r="W77" s="20" t="str">
        <x:f>IF($B77="", "", ROUND(MAX(30, MIN(99, IFERROR((AS77-MIN($AS$2:$AS$101))/(MAX($AS$2:$AS$101)-MIN($AS$2:$AS$101))*99,30))),0))</x:f>
      </x:c>
      <x:c r="X77" s="20" t="str">
        <x:f>IF($B77="", "", ROUND(MAX(30, MIN(99, IFERROR((AT77-MIN($AT$2:$AT$101))/(MAX($AT$2:$AT$101)-MIN($AT$2:$AT$101))*99,30))),0))</x:f>
      </x:c>
      <x:c r="Y77" s="20" t="str">
        <x:f>IF($B77="","",ROUND(AVERAGE(I77:X77),0))</x:f>
      </x:c>
      <x:c r="Z77" s="20" t="str">
        <x:f>IF($B77="","",ROUND(MAX(30,MIN(99,IFS(ISNUMBER(SEARCH("PG",UPPER(SUBSTITUTE($C77,"/","-")))),84,ISNUMBER(SEARCH("SG",UPPER(SUBSTITUTE($C77,"/","-")))),76,ISNUMBER(SEARCH("SF",UPPER(SUBSTITUTE($C77,"/","-")))),68,ISNUMBER(SEARCH("PF",UPPER(SUBSTITUTE($C77,"/","-")))),55,ISNUMBER(SEARCH("C",UPPER(SUBSTITUTE($C77,"/","-")))),42,TRUE,65)+((195-IFERROR($D77,195))*0.15)+((95-IFERROR($E77,95))*0.08))),0))</x:f>
      </x:c>
      <x:c r="AA77" s="20" t="str">
        <x:f>IF($B77="","",ROUND(MAX(30,MIN(99,IFS(ISNUMBER(SEARCH("PG",UPPER(SUBSTITUTE($C77,"/","-")))),84,ISNUMBER(SEARCH("SG",UPPER(SUBSTITUTE($C77,"/","-")))),76,ISNUMBER(SEARCH("SF",UPPER(SUBSTITUTE($C77,"/","-")))),68,ISNUMBER(SEARCH("PF",UPPER(SUBSTITUTE($C77,"/","-")))),55,ISNUMBER(SEARCH("C",UPPER(SUBSTITUTE($C77,"/","-")))),42,TRUE,65)+((195-IFERROR($D77,195))*0.18)+((95-IFERROR($E77,95))*0.10))),0))</x:f>
      </x:c>
      <x:c r="AB77" s="20" t="str">
        <x:f>IF($B77="","",ROUND(MAX(30,MIN(99,IFS(ISNUMBER(SEARCH("PG",UPPER(SUBSTITUTE($C77,"/","-")))),84,ISNUMBER(SEARCH("SG",UPPER(SUBSTITUTE($C77,"/","-")))),76,ISNUMBER(SEARCH("SF",UPPER(SUBSTITUTE($C77,"/","-")))),68,ISNUMBER(SEARCH("PF",UPPER(SUBSTITUTE($C77,"/","-")))),55,ISNUMBER(SEARCH("C",UPPER(SUBSTITUTE($C77,"/","-")))),42,TRUE,65)+2+((195-IFERROR($D77,195))*0.14)+((95-IFERROR($E77,95))*0.09))),0))</x:f>
      </x:c>
      <x:c r="AC77" s="20" t="str">
        <x:f>IF($B77="","",ROUND(MAX(30,MIN(99,IFS(ISNUMBER(SEARCH("C",UPPER(SUBSTITUTE($C77,"/","-")))),92,ISNUMBER(SEARCH("PF",UPPER(SUBSTITUTE($C77,"/","-")))),82,ISNUMBER(SEARCH("SF",UPPER(SUBSTITUTE($C77,"/","-")))),64,ISNUMBER(SEARCH("SG",UPPER(SUBSTITUTE($C77,"/","-")))),48,ISNUMBER(SEARCH("PG",UPPER(SUBSTITUTE($C77,"/","-")))),36,TRUE,60)+((IFERROR($E77,95)-95)*0.45)+((IFERROR($D77,195)-195)*0.10)+((IFERROR($F77,200)-200)*0.08))),0))</x:f>
      </x:c>
      <x:c r="AD77" s="20" t="str">
        <x:f>IF($B77="","",ROUND(MAX(30,MIN(99,65+((IFERROR($F77,200)-200)*0.22)+((IFERROR($D77,195)-195)*0.08)-((IFERROR($E77,95)-95)*0.07))),0))</x:f>
      </x:c>
      <x:c r="AE77" s="15" t="n">
        <x:f>IFERROR(='입력데이터'!S77,0)*0.4+IFERROR(='입력데이터'!AP77,0)*0.4+IFERROR(='입력데이터'!AO77,0)*0.5</x:f>
        <x:v>0</x:v>
      </x:c>
      <x:c r="AF77" s="15" t="n">
        <x:f>IFERROR(='입력데이터'!S77,0)*0.5+IFERROR(='입력데이터'!P77,0)*0.8+IFERROR(='입력데이터'!AG77,0)</x:f>
        <x:v>0</x:v>
      </x:c>
      <x:c r="AG77" s="15" t="n">
        <x:f>IFERROR(='입력데이터'!AJ77,0)*8+IFERROR(IFERROR(='입력데이터'!AJ77,0)/IFERROR(='입력데이터'!AK77,0),0)*30</x:f>
        <x:v>0</x:v>
      </x:c>
      <x:c r="AH77" s="15" t="n">
        <x:f>IFERROR(='입력데이터'!AJ77,0)*6+IFERROR(='입력데이터'!AH77,0)*4</x:f>
        <x:v>0</x:v>
      </x:c>
      <x:c r="AI77" s="15" t="n">
        <x:f>IFERROR(='입력데이터'!AP77,0)*0.4+IFERROR(='입력데이터'!AE77,0)*1.5+IFERROR(='입력데이터'!Q77,0)*1.5</x:f>
        <x:v>0</x:v>
      </x:c>
      <x:c r="AJ77" s="15" t="n">
        <x:f>MAX(0,IFERROR(='입력데이터'!P77,0)-IFERROR(='입력데이터'!Q77,0)*2-IFERROR(='입력데이터'!T77,0)*3-IFERROR(='입력데이터'!Z77,0))*1.5+IFERROR(='입력데이터'!Y77,0)*0.3</x:f>
        <x:v>0</x:v>
      </x:c>
      <x:c r="AK77" s="15" t="n">
        <x:f>IFERROR(='입력데이터'!V77,0)*0.6+IFERROR(='입력데이터'!U77,0)*2+IFERROR(='입력데이터'!T77,0)*3</x:f>
        <x:v>0</x:v>
      </x:c>
      <x:c r="AL77" s="15" t="n">
        <x:f>IFERROR(='입력데이터'!AB77,0)*0.7+IFERROR(='입력데이터'!AA77,0)*1.5</x:f>
        <x:v>0</x:v>
      </x:c>
      <x:c r="AM77" s="15" t="n">
        <x:f>IFERROR(='입력데이터'!AF77,0)*5+IFERROR(IFERROR(='입력데이터'!AF77,0)/IFERROR(='입력데이터'!AL77,0),0)*3+IFERROR(='입력데이터'!AT77,0)</x:f>
        <x:v>0</x:v>
      </x:c>
      <x:c r="AN77" s="15" t="n">
        <x:f>IFERROR(='입력데이터'!AF77,0)*3+IFERROR(='입력데이터'!AG77,0)*3+IFERROR(IFERROR(='입력데이터'!AF77,0)/IFERROR(='입력데이터'!AL77,0),0)*4</x:f>
        <x:v>0</x:v>
      </x:c>
      <x:c r="AO77" s="15" t="n">
        <x:f>IFERROR(='입력데이터'!AG77,0)*12+IFERROR(='입력데이터'!AU77,0)*6</x:f>
        <x:v>0</x:v>
      </x:c>
      <x:c r="AP77" s="15" t="n">
        <x:f>IFERROR(='입력데이터'!AH77,0)*14+IFERROR(='입력데이터'!AD77,0)</x:f>
        <x:v>0</x:v>
      </x:c>
      <x:c r="AQ77" s="15" t="n">
        <x:f>IFERROR(='입력데이터'!AC77,0)*10</x:f>
        <x:v>0</x:v>
      </x:c>
      <x:c r="AR77" s="15" t="n">
        <x:f>IFERROR(='입력데이터'!AD77,0)*7+IFERROR(='입력데이터'!AH77,0)*2</x:f>
        <x:v>0</x:v>
      </x:c>
      <x:c r="AS77" s="15" t="n">
        <x:f>IFERROR(='입력데이터'!AH77,0)*8+IFERROR(='입력데이터'!AD77,0)*2+IFERROR(='입력데이터'!AI77,0)*4</x:f>
        <x:v>0</x:v>
      </x:c>
      <x:c r="AT77" s="16" t="n">
        <x:f>IFERROR(='입력데이터'!AG77,0)*8+IFERROR(='입력데이터'!AI77,0)*5+IFERROR(='입력데이터'!AU77,0)*4</x:f>
        <x:v>0</x:v>
      </x:c>
    </x:row>
    <x:row r="78">
      <x:c r="A78" s="14" t="str">
        <x:f>IF('입력데이터'!$B78="","",'입력데이터'!A78)</x:f>
      </x:c>
      <x:c r="B78" s="15" t="str">
        <x:f>IF('입력데이터'!$B78="","",'입력데이터'!B78)</x:f>
      </x:c>
      <x:c r="C78" s="15" t="str">
        <x:f>IF('입력데이터'!$B78="","",'입력데이터'!K78)</x:f>
      </x:c>
      <x:c r="D78" s="15" t="str">
        <x:f>IF('입력데이터'!$B78="","",'입력데이터'!H78)</x:f>
      </x:c>
      <x:c r="E78" s="15" t="str">
        <x:f>IF('입력데이터'!$B78="","",'입력데이터'!I78)</x:f>
      </x:c>
      <x:c r="F78" s="15" t="str">
        <x:f>IF('입력데이터'!$B78="","",'입력데이터'!J78)</x:f>
      </x:c>
      <x:c r="G78" s="15" t="str">
        <x:f>IF('입력데이터'!$B78="","",'입력데이터'!L78)</x:f>
      </x:c>
      <x:c r="H78" s="15" t="str">
        <x:f>IF('입력데이터'!$B78="","",'입력데이터'!O78)</x:f>
      </x:c>
      <x:c r="I78" s="20" t="str">
        <x:f>IF($B78="", "", ROUND(MAX(30, MIN(99, IFERROR((AE78-MIN($AE$2:$AE$101))/(MAX($AE$2:$AE$101)-MIN($AE$2:$AE$101))*99,30))),0))</x:f>
      </x:c>
      <x:c r="J78" s="20" t="str">
        <x:f>IF($B78="", "", ROUND(MAX(30, MIN(99, IFERROR((AF78-MIN($AF$2:$AF$101))/(MAX($AF$2:$AF$101)-MIN($AF$2:$AF$101))*99,30))),0))</x:f>
      </x:c>
      <x:c r="K78" s="20" t="str">
        <x:f>IF($B78="", "", ROUND(MAX(30, MIN(99, IFERROR((AG78-MIN($AG$2:$AG$101))/(MAX($AG$2:$AG$101)-MIN($AG$2:$AG$101))*99,30))),0))</x:f>
      </x:c>
      <x:c r="L78" s="20" t="str">
        <x:f>IF($B78="", "", ROUND(MAX(30, MIN(99, IFERROR((AH78-MIN($AH$2:$AH$101))/(MAX($AH$2:$AH$101)-MIN($AH$2:$AH$101))*99,30))),0))</x:f>
      </x:c>
      <x:c r="M78" s="20" t="str">
        <x:f>IF($B78="", "", ROUND(MAX(30, MIN(99, IFERROR((AI78-MIN($AI$2:$AI$101))/(MAX($AI$2:$AI$101)-MIN($AI$2:$AI$101))*99,30))),0))</x:f>
      </x:c>
      <x:c r="N78" s="20" t="str">
        <x:f>IF($B78="", "", ROUND(MAX(30, MIN(99, IFERROR((AJ78-MIN($AJ$2:$AJ$101))/(MAX($AJ$2:$AJ$101)-MIN($AJ$2:$AJ$101))*99,30))),0))</x:f>
      </x:c>
      <x:c r="O78" s="20" t="str">
        <x:f>IF($B78="", "", ROUND(MAX(30, MIN(99, IFERROR((AK78-MIN($AK$2:$AK$101))/(MAX($AK$2:$AK$101)-MIN($AK$2:$AK$101))*99,30))),0))</x:f>
      </x:c>
      <x:c r="P78" s="20" t="str">
        <x:f>IF($B78="", "", ROUND(MAX(30, MIN(99, IFERROR((AL78-MIN($AL$2:$AL$101))/(MAX($AL$2:$AL$101)-MIN($AL$2:$AL$101))*99,30))),0))</x:f>
      </x:c>
      <x:c r="Q78" s="20" t="str">
        <x:f>IF($B78="", "", ROUND(MAX(30, MIN(99, IFERROR((AM78-MIN($AM$2:$AM$101))/(MAX($AM$2:$AM$101)-MIN($AM$2:$AM$101))*99,30))),0))</x:f>
      </x:c>
      <x:c r="R78" s="20" t="str">
        <x:f>IF($B78="", "", ROUND(MAX(30, MIN(99, IFERROR((AN78-MIN($AN$2:$AN$101))/(MAX($AN$2:$AN$101)-MIN($AN$2:$AN$101))*99,30))),0))</x:f>
      </x:c>
      <x:c r="S78" s="20" t="str">
        <x:f>IF($B78="", "", ROUND(MAX(30, MIN(99, IFERROR((AO78-MIN($AO$2:$AO$101))/(MAX($AO$2:$AO$101)-MIN($AO$2:$AO$101))*99,30))),0))</x:f>
      </x:c>
      <x:c r="T78" s="20" t="str">
        <x:f>IF($B78="", "", ROUND(MAX(30, MIN(99, IFERROR((AP78-MIN($AP$2:$AP$101))/(MAX($AP$2:$AP$101)-MIN($AP$2:$AP$101))*99,30))),0))</x:f>
      </x:c>
      <x:c r="U78" s="20" t="str">
        <x:f>IF($B78="", "", ROUND(MAX(30, MIN(99, IFERROR((AQ78-MIN($AQ$2:$AQ$101))/(MAX($AQ$2:$AQ$101)-MIN($AQ$2:$AQ$101))*99,30))),0))</x:f>
      </x:c>
      <x:c r="V78" s="20" t="str">
        <x:f>IF($B78="", "", ROUND(MAX(30, MIN(99, IFERROR((AR78-MIN($AR$2:$AR$101))/(MAX($AR$2:$AR$101)-MIN($AR$2:$AR$101))*99,30))),0))</x:f>
      </x:c>
      <x:c r="W78" s="20" t="str">
        <x:f>IF($B78="", "", ROUND(MAX(30, MIN(99, IFERROR((AS78-MIN($AS$2:$AS$101))/(MAX($AS$2:$AS$101)-MIN($AS$2:$AS$101))*99,30))),0))</x:f>
      </x:c>
      <x:c r="X78" s="20" t="str">
        <x:f>IF($B78="", "", ROUND(MAX(30, MIN(99, IFERROR((AT78-MIN($AT$2:$AT$101))/(MAX($AT$2:$AT$101)-MIN($AT$2:$AT$101))*99,30))),0))</x:f>
      </x:c>
      <x:c r="Y78" s="20" t="str">
        <x:f>IF($B78="","",ROUND(AVERAGE(I78:X78),0))</x:f>
      </x:c>
      <x:c r="Z78" s="20" t="str">
        <x:f>IF($B78="","",ROUND(MAX(30,MIN(99,IFS(ISNUMBER(SEARCH("PG",UPPER(SUBSTITUTE($C78,"/","-")))),84,ISNUMBER(SEARCH("SG",UPPER(SUBSTITUTE($C78,"/","-")))),76,ISNUMBER(SEARCH("SF",UPPER(SUBSTITUTE($C78,"/","-")))),68,ISNUMBER(SEARCH("PF",UPPER(SUBSTITUTE($C78,"/","-")))),55,ISNUMBER(SEARCH("C",UPPER(SUBSTITUTE($C78,"/","-")))),42,TRUE,65)+((195-IFERROR($D78,195))*0.15)+((95-IFERROR($E78,95))*0.08))),0))</x:f>
      </x:c>
      <x:c r="AA78" s="20" t="str">
        <x:f>IF($B78="","",ROUND(MAX(30,MIN(99,IFS(ISNUMBER(SEARCH("PG",UPPER(SUBSTITUTE($C78,"/","-")))),84,ISNUMBER(SEARCH("SG",UPPER(SUBSTITUTE($C78,"/","-")))),76,ISNUMBER(SEARCH("SF",UPPER(SUBSTITUTE($C78,"/","-")))),68,ISNUMBER(SEARCH("PF",UPPER(SUBSTITUTE($C78,"/","-")))),55,ISNUMBER(SEARCH("C",UPPER(SUBSTITUTE($C78,"/","-")))),42,TRUE,65)+((195-IFERROR($D78,195))*0.18)+((95-IFERROR($E78,95))*0.10))),0))</x:f>
      </x:c>
      <x:c r="AB78" s="20" t="str">
        <x:f>IF($B78="","",ROUND(MAX(30,MIN(99,IFS(ISNUMBER(SEARCH("PG",UPPER(SUBSTITUTE($C78,"/","-")))),84,ISNUMBER(SEARCH("SG",UPPER(SUBSTITUTE($C78,"/","-")))),76,ISNUMBER(SEARCH("SF",UPPER(SUBSTITUTE($C78,"/","-")))),68,ISNUMBER(SEARCH("PF",UPPER(SUBSTITUTE($C78,"/","-")))),55,ISNUMBER(SEARCH("C",UPPER(SUBSTITUTE($C78,"/","-")))),42,TRUE,65)+2+((195-IFERROR($D78,195))*0.14)+((95-IFERROR($E78,95))*0.09))),0))</x:f>
      </x:c>
      <x:c r="AC78" s="20" t="str">
        <x:f>IF($B78="","",ROUND(MAX(30,MIN(99,IFS(ISNUMBER(SEARCH("C",UPPER(SUBSTITUTE($C78,"/","-")))),92,ISNUMBER(SEARCH("PF",UPPER(SUBSTITUTE($C78,"/","-")))),82,ISNUMBER(SEARCH("SF",UPPER(SUBSTITUTE($C78,"/","-")))),64,ISNUMBER(SEARCH("SG",UPPER(SUBSTITUTE($C78,"/","-")))),48,ISNUMBER(SEARCH("PG",UPPER(SUBSTITUTE($C78,"/","-")))),36,TRUE,60)+((IFERROR($E78,95)-95)*0.45)+((IFERROR($D78,195)-195)*0.10)+((IFERROR($F78,200)-200)*0.08))),0))</x:f>
      </x:c>
      <x:c r="AD78" s="20" t="str">
        <x:f>IF($B78="","",ROUND(MAX(30,MIN(99,65+((IFERROR($F78,200)-200)*0.22)+((IFERROR($D78,195)-195)*0.08)-((IFERROR($E78,95)-95)*0.07))),0))</x:f>
      </x:c>
      <x:c r="AE78" s="15" t="n">
        <x:f>IFERROR(='입력데이터'!S78,0)*0.4+IFERROR(='입력데이터'!AP78,0)*0.4+IFERROR(='입력데이터'!AO78,0)*0.5</x:f>
        <x:v>0</x:v>
      </x:c>
      <x:c r="AF78" s="15" t="n">
        <x:f>IFERROR(='입력데이터'!S78,0)*0.5+IFERROR(='입력데이터'!P78,0)*0.8+IFERROR(='입력데이터'!AG78,0)</x:f>
        <x:v>0</x:v>
      </x:c>
      <x:c r="AG78" s="15" t="n">
        <x:f>IFERROR(='입력데이터'!AJ78,0)*8+IFERROR(IFERROR(='입력데이터'!AJ78,0)/IFERROR(='입력데이터'!AK78,0),0)*30</x:f>
        <x:v>0</x:v>
      </x:c>
      <x:c r="AH78" s="15" t="n">
        <x:f>IFERROR(='입력데이터'!AJ78,0)*6+IFERROR(='입력데이터'!AH78,0)*4</x:f>
        <x:v>0</x:v>
      </x:c>
      <x:c r="AI78" s="15" t="n">
        <x:f>IFERROR(='입력데이터'!AP78,0)*0.4+IFERROR(='입력데이터'!AE78,0)*1.5+IFERROR(='입력데이터'!Q78,0)*1.5</x:f>
        <x:v>0</x:v>
      </x:c>
      <x:c r="AJ78" s="15" t="n">
        <x:f>MAX(0,IFERROR(='입력데이터'!P78,0)-IFERROR(='입력데이터'!Q78,0)*2-IFERROR(='입력데이터'!T78,0)*3-IFERROR(='입력데이터'!Z78,0))*1.5+IFERROR(='입력데이터'!Y78,0)*0.3</x:f>
        <x:v>0</x:v>
      </x:c>
      <x:c r="AK78" s="15" t="n">
        <x:f>IFERROR(='입력데이터'!V78,0)*0.6+IFERROR(='입력데이터'!U78,0)*2+IFERROR(='입력데이터'!T78,0)*3</x:f>
        <x:v>0</x:v>
      </x:c>
      <x:c r="AL78" s="15" t="n">
        <x:f>IFERROR(='입력데이터'!AB78,0)*0.7+IFERROR(='입력데이터'!AA78,0)*1.5</x:f>
        <x:v>0</x:v>
      </x:c>
      <x:c r="AM78" s="15" t="n">
        <x:f>IFERROR(='입력데이터'!AF78,0)*5+IFERROR(IFERROR(='입력데이터'!AF78,0)/IFERROR(='입력데이터'!AL78,0),0)*3+IFERROR(='입력데이터'!AT78,0)</x:f>
        <x:v>0</x:v>
      </x:c>
      <x:c r="AN78" s="15" t="n">
        <x:f>IFERROR(='입력데이터'!AF78,0)*3+IFERROR(='입력데이터'!AG78,0)*3+IFERROR(IFERROR(='입력데이터'!AF78,0)/IFERROR(='입력데이터'!AL78,0),0)*4</x:f>
        <x:v>0</x:v>
      </x:c>
      <x:c r="AO78" s="15" t="n">
        <x:f>IFERROR(='입력데이터'!AG78,0)*12+IFERROR(='입력데이터'!AU78,0)*6</x:f>
        <x:v>0</x:v>
      </x:c>
      <x:c r="AP78" s="15" t="n">
        <x:f>IFERROR(='입력데이터'!AH78,0)*14+IFERROR(='입력데이터'!AD78,0)</x:f>
        <x:v>0</x:v>
      </x:c>
      <x:c r="AQ78" s="15" t="n">
        <x:f>IFERROR(='입력데이터'!AC78,0)*10</x:f>
        <x:v>0</x:v>
      </x:c>
      <x:c r="AR78" s="15" t="n">
        <x:f>IFERROR(='입력데이터'!AD78,0)*7+IFERROR(='입력데이터'!AH78,0)*2</x:f>
        <x:v>0</x:v>
      </x:c>
      <x:c r="AS78" s="15" t="n">
        <x:f>IFERROR(='입력데이터'!AH78,0)*8+IFERROR(='입력데이터'!AD78,0)*2+IFERROR(='입력데이터'!AI78,0)*4</x:f>
        <x:v>0</x:v>
      </x:c>
      <x:c r="AT78" s="16" t="n">
        <x:f>IFERROR(='입력데이터'!AG78,0)*8+IFERROR(='입력데이터'!AI78,0)*5+IFERROR(='입력데이터'!AU78,0)*4</x:f>
        <x:v>0</x:v>
      </x:c>
    </x:row>
    <x:row r="79">
      <x:c r="A79" s="14" t="str">
        <x:f>IF('입력데이터'!$B79="","",'입력데이터'!A79)</x:f>
      </x:c>
      <x:c r="B79" s="15" t="str">
        <x:f>IF('입력데이터'!$B79="","",'입력데이터'!B79)</x:f>
      </x:c>
      <x:c r="C79" s="15" t="str">
        <x:f>IF('입력데이터'!$B79="","",'입력데이터'!K79)</x:f>
      </x:c>
      <x:c r="D79" s="15" t="str">
        <x:f>IF('입력데이터'!$B79="","",'입력데이터'!H79)</x:f>
      </x:c>
      <x:c r="E79" s="15" t="str">
        <x:f>IF('입력데이터'!$B79="","",'입력데이터'!I79)</x:f>
      </x:c>
      <x:c r="F79" s="15" t="str">
        <x:f>IF('입력데이터'!$B79="","",'입력데이터'!J79)</x:f>
      </x:c>
      <x:c r="G79" s="15" t="str">
        <x:f>IF('입력데이터'!$B79="","",'입력데이터'!L79)</x:f>
      </x:c>
      <x:c r="H79" s="15" t="str">
        <x:f>IF('입력데이터'!$B79="","",'입력데이터'!O79)</x:f>
      </x:c>
      <x:c r="I79" s="20" t="str">
        <x:f>IF($B79="", "", ROUND(MAX(30, MIN(99, IFERROR((AE79-MIN($AE$2:$AE$101))/(MAX($AE$2:$AE$101)-MIN($AE$2:$AE$101))*99,30))),0))</x:f>
      </x:c>
      <x:c r="J79" s="20" t="str">
        <x:f>IF($B79="", "", ROUND(MAX(30, MIN(99, IFERROR((AF79-MIN($AF$2:$AF$101))/(MAX($AF$2:$AF$101)-MIN($AF$2:$AF$101))*99,30))),0))</x:f>
      </x:c>
      <x:c r="K79" s="20" t="str">
        <x:f>IF($B79="", "", ROUND(MAX(30, MIN(99, IFERROR((AG79-MIN($AG$2:$AG$101))/(MAX($AG$2:$AG$101)-MIN($AG$2:$AG$101))*99,30))),0))</x:f>
      </x:c>
      <x:c r="L79" s="20" t="str">
        <x:f>IF($B79="", "", ROUND(MAX(30, MIN(99, IFERROR((AH79-MIN($AH$2:$AH$101))/(MAX($AH$2:$AH$101)-MIN($AH$2:$AH$101))*99,30))),0))</x:f>
      </x:c>
      <x:c r="M79" s="20" t="str">
        <x:f>IF($B79="", "", ROUND(MAX(30, MIN(99, IFERROR((AI79-MIN($AI$2:$AI$101))/(MAX($AI$2:$AI$101)-MIN($AI$2:$AI$101))*99,30))),0))</x:f>
      </x:c>
      <x:c r="N79" s="20" t="str">
        <x:f>IF($B79="", "", ROUND(MAX(30, MIN(99, IFERROR((AJ79-MIN($AJ$2:$AJ$101))/(MAX($AJ$2:$AJ$101)-MIN($AJ$2:$AJ$101))*99,30))),0))</x:f>
      </x:c>
      <x:c r="O79" s="20" t="str">
        <x:f>IF($B79="", "", ROUND(MAX(30, MIN(99, IFERROR((AK79-MIN($AK$2:$AK$101))/(MAX($AK$2:$AK$101)-MIN($AK$2:$AK$101))*99,30))),0))</x:f>
      </x:c>
      <x:c r="P79" s="20" t="str">
        <x:f>IF($B79="", "", ROUND(MAX(30, MIN(99, IFERROR((AL79-MIN($AL$2:$AL$101))/(MAX($AL$2:$AL$101)-MIN($AL$2:$AL$101))*99,30))),0))</x:f>
      </x:c>
      <x:c r="Q79" s="20" t="str">
        <x:f>IF($B79="", "", ROUND(MAX(30, MIN(99, IFERROR((AM79-MIN($AM$2:$AM$101))/(MAX($AM$2:$AM$101)-MIN($AM$2:$AM$101))*99,30))),0))</x:f>
      </x:c>
      <x:c r="R79" s="20" t="str">
        <x:f>IF($B79="", "", ROUND(MAX(30, MIN(99, IFERROR((AN79-MIN($AN$2:$AN$101))/(MAX($AN$2:$AN$101)-MIN($AN$2:$AN$101))*99,30))),0))</x:f>
      </x:c>
      <x:c r="S79" s="20" t="str">
        <x:f>IF($B79="", "", ROUND(MAX(30, MIN(99, IFERROR((AO79-MIN($AO$2:$AO$101))/(MAX($AO$2:$AO$101)-MIN($AO$2:$AO$101))*99,30))),0))</x:f>
      </x:c>
      <x:c r="T79" s="20" t="str">
        <x:f>IF($B79="", "", ROUND(MAX(30, MIN(99, IFERROR((AP79-MIN($AP$2:$AP$101))/(MAX($AP$2:$AP$101)-MIN($AP$2:$AP$101))*99,30))),0))</x:f>
      </x:c>
      <x:c r="U79" s="20" t="str">
        <x:f>IF($B79="", "", ROUND(MAX(30, MIN(99, IFERROR((AQ79-MIN($AQ$2:$AQ$101))/(MAX($AQ$2:$AQ$101)-MIN($AQ$2:$AQ$101))*99,30))),0))</x:f>
      </x:c>
      <x:c r="V79" s="20" t="str">
        <x:f>IF($B79="", "", ROUND(MAX(30, MIN(99, IFERROR((AR79-MIN($AR$2:$AR$101))/(MAX($AR$2:$AR$101)-MIN($AR$2:$AR$101))*99,30))),0))</x:f>
      </x:c>
      <x:c r="W79" s="20" t="str">
        <x:f>IF($B79="", "", ROUND(MAX(30, MIN(99, IFERROR((AS79-MIN($AS$2:$AS$101))/(MAX($AS$2:$AS$101)-MIN($AS$2:$AS$101))*99,30))),0))</x:f>
      </x:c>
      <x:c r="X79" s="20" t="str">
        <x:f>IF($B79="", "", ROUND(MAX(30, MIN(99, IFERROR((AT79-MIN($AT$2:$AT$101))/(MAX($AT$2:$AT$101)-MIN($AT$2:$AT$101))*99,30))),0))</x:f>
      </x:c>
      <x:c r="Y79" s="20" t="str">
        <x:f>IF($B79="","",ROUND(AVERAGE(I79:X79),0))</x:f>
      </x:c>
      <x:c r="Z79" s="20" t="str">
        <x:f>IF($B79="","",ROUND(MAX(30,MIN(99,IFS(ISNUMBER(SEARCH("PG",UPPER(SUBSTITUTE($C79,"/","-")))),84,ISNUMBER(SEARCH("SG",UPPER(SUBSTITUTE($C79,"/","-")))),76,ISNUMBER(SEARCH("SF",UPPER(SUBSTITUTE($C79,"/","-")))),68,ISNUMBER(SEARCH("PF",UPPER(SUBSTITUTE($C79,"/","-")))),55,ISNUMBER(SEARCH("C",UPPER(SUBSTITUTE($C79,"/","-")))),42,TRUE,65)+((195-IFERROR($D79,195))*0.15)+((95-IFERROR($E79,95))*0.08))),0))</x:f>
      </x:c>
      <x:c r="AA79" s="20" t="str">
        <x:f>IF($B79="","",ROUND(MAX(30,MIN(99,IFS(ISNUMBER(SEARCH("PG",UPPER(SUBSTITUTE($C79,"/","-")))),84,ISNUMBER(SEARCH("SG",UPPER(SUBSTITUTE($C79,"/","-")))),76,ISNUMBER(SEARCH("SF",UPPER(SUBSTITUTE($C79,"/","-")))),68,ISNUMBER(SEARCH("PF",UPPER(SUBSTITUTE($C79,"/","-")))),55,ISNUMBER(SEARCH("C",UPPER(SUBSTITUTE($C79,"/","-")))),42,TRUE,65)+((195-IFERROR($D79,195))*0.18)+((95-IFERROR($E79,95))*0.10))),0))</x:f>
      </x:c>
      <x:c r="AB79" s="20" t="str">
        <x:f>IF($B79="","",ROUND(MAX(30,MIN(99,IFS(ISNUMBER(SEARCH("PG",UPPER(SUBSTITUTE($C79,"/","-")))),84,ISNUMBER(SEARCH("SG",UPPER(SUBSTITUTE($C79,"/","-")))),76,ISNUMBER(SEARCH("SF",UPPER(SUBSTITUTE($C79,"/","-")))),68,ISNUMBER(SEARCH("PF",UPPER(SUBSTITUTE($C79,"/","-")))),55,ISNUMBER(SEARCH("C",UPPER(SUBSTITUTE($C79,"/","-")))),42,TRUE,65)+2+((195-IFERROR($D79,195))*0.14)+((95-IFERROR($E79,95))*0.09))),0))</x:f>
      </x:c>
      <x:c r="AC79" s="20" t="str">
        <x:f>IF($B79="","",ROUND(MAX(30,MIN(99,IFS(ISNUMBER(SEARCH("C",UPPER(SUBSTITUTE($C79,"/","-")))),92,ISNUMBER(SEARCH("PF",UPPER(SUBSTITUTE($C79,"/","-")))),82,ISNUMBER(SEARCH("SF",UPPER(SUBSTITUTE($C79,"/","-")))),64,ISNUMBER(SEARCH("SG",UPPER(SUBSTITUTE($C79,"/","-")))),48,ISNUMBER(SEARCH("PG",UPPER(SUBSTITUTE($C79,"/","-")))),36,TRUE,60)+((IFERROR($E79,95)-95)*0.45)+((IFERROR($D79,195)-195)*0.10)+((IFERROR($F79,200)-200)*0.08))),0))</x:f>
      </x:c>
      <x:c r="AD79" s="20" t="str">
        <x:f>IF($B79="","",ROUND(MAX(30,MIN(99,65+((IFERROR($F79,200)-200)*0.22)+((IFERROR($D79,195)-195)*0.08)-((IFERROR($E79,95)-95)*0.07))),0))</x:f>
      </x:c>
      <x:c r="AE79" s="15" t="n">
        <x:f>IFERROR(='입력데이터'!S79,0)*0.4+IFERROR(='입력데이터'!AP79,0)*0.4+IFERROR(='입력데이터'!AO79,0)*0.5</x:f>
        <x:v>0</x:v>
      </x:c>
      <x:c r="AF79" s="15" t="n">
        <x:f>IFERROR(='입력데이터'!S79,0)*0.5+IFERROR(='입력데이터'!P79,0)*0.8+IFERROR(='입력데이터'!AG79,0)</x:f>
        <x:v>0</x:v>
      </x:c>
      <x:c r="AG79" s="15" t="n">
        <x:f>IFERROR(='입력데이터'!AJ79,0)*8+IFERROR(IFERROR(='입력데이터'!AJ79,0)/IFERROR(='입력데이터'!AK79,0),0)*30</x:f>
        <x:v>0</x:v>
      </x:c>
      <x:c r="AH79" s="15" t="n">
        <x:f>IFERROR(='입력데이터'!AJ79,0)*6+IFERROR(='입력데이터'!AH79,0)*4</x:f>
        <x:v>0</x:v>
      </x:c>
      <x:c r="AI79" s="15" t="n">
        <x:f>IFERROR(='입력데이터'!AP79,0)*0.4+IFERROR(='입력데이터'!AE79,0)*1.5+IFERROR(='입력데이터'!Q79,0)*1.5</x:f>
        <x:v>0</x:v>
      </x:c>
      <x:c r="AJ79" s="15" t="n">
        <x:f>MAX(0,IFERROR(='입력데이터'!P79,0)-IFERROR(='입력데이터'!Q79,0)*2-IFERROR(='입력데이터'!T79,0)*3-IFERROR(='입력데이터'!Z79,0))*1.5+IFERROR(='입력데이터'!Y79,0)*0.3</x:f>
        <x:v>0</x:v>
      </x:c>
      <x:c r="AK79" s="15" t="n">
        <x:f>IFERROR(='입력데이터'!V79,0)*0.6+IFERROR(='입력데이터'!U79,0)*2+IFERROR(='입력데이터'!T79,0)*3</x:f>
        <x:v>0</x:v>
      </x:c>
      <x:c r="AL79" s="15" t="n">
        <x:f>IFERROR(='입력데이터'!AB79,0)*0.7+IFERROR(='입력데이터'!AA79,0)*1.5</x:f>
        <x:v>0</x:v>
      </x:c>
      <x:c r="AM79" s="15" t="n">
        <x:f>IFERROR(='입력데이터'!AF79,0)*5+IFERROR(IFERROR(='입력데이터'!AF79,0)/IFERROR(='입력데이터'!AL79,0),0)*3+IFERROR(='입력데이터'!AT79,0)</x:f>
        <x:v>0</x:v>
      </x:c>
      <x:c r="AN79" s="15" t="n">
        <x:f>IFERROR(='입력데이터'!AF79,0)*3+IFERROR(='입력데이터'!AG79,0)*3+IFERROR(IFERROR(='입력데이터'!AF79,0)/IFERROR(='입력데이터'!AL79,0),0)*4</x:f>
        <x:v>0</x:v>
      </x:c>
      <x:c r="AO79" s="15" t="n">
        <x:f>IFERROR(='입력데이터'!AG79,0)*12+IFERROR(='입력데이터'!AU79,0)*6</x:f>
        <x:v>0</x:v>
      </x:c>
      <x:c r="AP79" s="15" t="n">
        <x:f>IFERROR(='입력데이터'!AH79,0)*14+IFERROR(='입력데이터'!AD79,0)</x:f>
        <x:v>0</x:v>
      </x:c>
      <x:c r="AQ79" s="15" t="n">
        <x:f>IFERROR(='입력데이터'!AC79,0)*10</x:f>
        <x:v>0</x:v>
      </x:c>
      <x:c r="AR79" s="15" t="n">
        <x:f>IFERROR(='입력데이터'!AD79,0)*7+IFERROR(='입력데이터'!AH79,0)*2</x:f>
        <x:v>0</x:v>
      </x:c>
      <x:c r="AS79" s="15" t="n">
        <x:f>IFERROR(='입력데이터'!AH79,0)*8+IFERROR(='입력데이터'!AD79,0)*2+IFERROR(='입력데이터'!AI79,0)*4</x:f>
        <x:v>0</x:v>
      </x:c>
      <x:c r="AT79" s="16" t="n">
        <x:f>IFERROR(='입력데이터'!AG79,0)*8+IFERROR(='입력데이터'!AI79,0)*5+IFERROR(='입력데이터'!AU79,0)*4</x:f>
        <x:v>0</x:v>
      </x:c>
    </x:row>
    <x:row r="80">
      <x:c r="A80" s="14" t="str">
        <x:f>IF('입력데이터'!$B80="","",'입력데이터'!A80)</x:f>
      </x:c>
      <x:c r="B80" s="15" t="str">
        <x:f>IF('입력데이터'!$B80="","",'입력데이터'!B80)</x:f>
      </x:c>
      <x:c r="C80" s="15" t="str">
        <x:f>IF('입력데이터'!$B80="","",'입력데이터'!K80)</x:f>
      </x:c>
      <x:c r="D80" s="15" t="str">
        <x:f>IF('입력데이터'!$B80="","",'입력데이터'!H80)</x:f>
      </x:c>
      <x:c r="E80" s="15" t="str">
        <x:f>IF('입력데이터'!$B80="","",'입력데이터'!I80)</x:f>
      </x:c>
      <x:c r="F80" s="15" t="str">
        <x:f>IF('입력데이터'!$B80="","",'입력데이터'!J80)</x:f>
      </x:c>
      <x:c r="G80" s="15" t="str">
        <x:f>IF('입력데이터'!$B80="","",'입력데이터'!L80)</x:f>
      </x:c>
      <x:c r="H80" s="15" t="str">
        <x:f>IF('입력데이터'!$B80="","",'입력데이터'!O80)</x:f>
      </x:c>
      <x:c r="I80" s="20" t="str">
        <x:f>IF($B80="", "", ROUND(MAX(30, MIN(99, IFERROR((AE80-MIN($AE$2:$AE$101))/(MAX($AE$2:$AE$101)-MIN($AE$2:$AE$101))*99,30))),0))</x:f>
      </x:c>
      <x:c r="J80" s="20" t="str">
        <x:f>IF($B80="", "", ROUND(MAX(30, MIN(99, IFERROR((AF80-MIN($AF$2:$AF$101))/(MAX($AF$2:$AF$101)-MIN($AF$2:$AF$101))*99,30))),0))</x:f>
      </x:c>
      <x:c r="K80" s="20" t="str">
        <x:f>IF($B80="", "", ROUND(MAX(30, MIN(99, IFERROR((AG80-MIN($AG$2:$AG$101))/(MAX($AG$2:$AG$101)-MIN($AG$2:$AG$101))*99,30))),0))</x:f>
      </x:c>
      <x:c r="L80" s="20" t="str">
        <x:f>IF($B80="", "", ROUND(MAX(30, MIN(99, IFERROR((AH80-MIN($AH$2:$AH$101))/(MAX($AH$2:$AH$101)-MIN($AH$2:$AH$101))*99,30))),0))</x:f>
      </x:c>
      <x:c r="M80" s="20" t="str">
        <x:f>IF($B80="", "", ROUND(MAX(30, MIN(99, IFERROR((AI80-MIN($AI$2:$AI$101))/(MAX($AI$2:$AI$101)-MIN($AI$2:$AI$101))*99,30))),0))</x:f>
      </x:c>
      <x:c r="N80" s="20" t="str">
        <x:f>IF($B80="", "", ROUND(MAX(30, MIN(99, IFERROR((AJ80-MIN($AJ$2:$AJ$101))/(MAX($AJ$2:$AJ$101)-MIN($AJ$2:$AJ$101))*99,30))),0))</x:f>
      </x:c>
      <x:c r="O80" s="20" t="str">
        <x:f>IF($B80="", "", ROUND(MAX(30, MIN(99, IFERROR((AK80-MIN($AK$2:$AK$101))/(MAX($AK$2:$AK$101)-MIN($AK$2:$AK$101))*99,30))),0))</x:f>
      </x:c>
      <x:c r="P80" s="20" t="str">
        <x:f>IF($B80="", "", ROUND(MAX(30, MIN(99, IFERROR((AL80-MIN($AL$2:$AL$101))/(MAX($AL$2:$AL$101)-MIN($AL$2:$AL$101))*99,30))),0))</x:f>
      </x:c>
      <x:c r="Q80" s="20" t="str">
        <x:f>IF($B80="", "", ROUND(MAX(30, MIN(99, IFERROR((AM80-MIN($AM$2:$AM$101))/(MAX($AM$2:$AM$101)-MIN($AM$2:$AM$101))*99,30))),0))</x:f>
      </x:c>
      <x:c r="R80" s="20" t="str">
        <x:f>IF($B80="", "", ROUND(MAX(30, MIN(99, IFERROR((AN80-MIN($AN$2:$AN$101))/(MAX($AN$2:$AN$101)-MIN($AN$2:$AN$101))*99,30))),0))</x:f>
      </x:c>
      <x:c r="S80" s="20" t="str">
        <x:f>IF($B80="", "", ROUND(MAX(30, MIN(99, IFERROR((AO80-MIN($AO$2:$AO$101))/(MAX($AO$2:$AO$101)-MIN($AO$2:$AO$101))*99,30))),0))</x:f>
      </x:c>
      <x:c r="T80" s="20" t="str">
        <x:f>IF($B80="", "", ROUND(MAX(30, MIN(99, IFERROR((AP80-MIN($AP$2:$AP$101))/(MAX($AP$2:$AP$101)-MIN($AP$2:$AP$101))*99,30))),0))</x:f>
      </x:c>
      <x:c r="U80" s="20" t="str">
        <x:f>IF($B80="", "", ROUND(MAX(30, MIN(99, IFERROR((AQ80-MIN($AQ$2:$AQ$101))/(MAX($AQ$2:$AQ$101)-MIN($AQ$2:$AQ$101))*99,30))),0))</x:f>
      </x:c>
      <x:c r="V80" s="20" t="str">
        <x:f>IF($B80="", "", ROUND(MAX(30, MIN(99, IFERROR((AR80-MIN($AR$2:$AR$101))/(MAX($AR$2:$AR$101)-MIN($AR$2:$AR$101))*99,30))),0))</x:f>
      </x:c>
      <x:c r="W80" s="20" t="str">
        <x:f>IF($B80="", "", ROUND(MAX(30, MIN(99, IFERROR((AS80-MIN($AS$2:$AS$101))/(MAX($AS$2:$AS$101)-MIN($AS$2:$AS$101))*99,30))),0))</x:f>
      </x:c>
      <x:c r="X80" s="20" t="str">
        <x:f>IF($B80="", "", ROUND(MAX(30, MIN(99, IFERROR((AT80-MIN($AT$2:$AT$101))/(MAX($AT$2:$AT$101)-MIN($AT$2:$AT$101))*99,30))),0))</x:f>
      </x:c>
      <x:c r="Y80" s="20" t="str">
        <x:f>IF($B80="","",ROUND(AVERAGE(I80:X80),0))</x:f>
      </x:c>
      <x:c r="Z80" s="20" t="str">
        <x:f>IF($B80="","",ROUND(MAX(30,MIN(99,IFS(ISNUMBER(SEARCH("PG",UPPER(SUBSTITUTE($C80,"/","-")))),84,ISNUMBER(SEARCH("SG",UPPER(SUBSTITUTE($C80,"/","-")))),76,ISNUMBER(SEARCH("SF",UPPER(SUBSTITUTE($C80,"/","-")))),68,ISNUMBER(SEARCH("PF",UPPER(SUBSTITUTE($C80,"/","-")))),55,ISNUMBER(SEARCH("C",UPPER(SUBSTITUTE($C80,"/","-")))),42,TRUE,65)+((195-IFERROR($D80,195))*0.15)+((95-IFERROR($E80,95))*0.08))),0))</x:f>
      </x:c>
      <x:c r="AA80" s="20" t="str">
        <x:f>IF($B80="","",ROUND(MAX(30,MIN(99,IFS(ISNUMBER(SEARCH("PG",UPPER(SUBSTITUTE($C80,"/","-")))),84,ISNUMBER(SEARCH("SG",UPPER(SUBSTITUTE($C80,"/","-")))),76,ISNUMBER(SEARCH("SF",UPPER(SUBSTITUTE($C80,"/","-")))),68,ISNUMBER(SEARCH("PF",UPPER(SUBSTITUTE($C80,"/","-")))),55,ISNUMBER(SEARCH("C",UPPER(SUBSTITUTE($C80,"/","-")))),42,TRUE,65)+((195-IFERROR($D80,195))*0.18)+((95-IFERROR($E80,95))*0.10))),0))</x:f>
      </x:c>
      <x:c r="AB80" s="20" t="str">
        <x:f>IF($B80="","",ROUND(MAX(30,MIN(99,IFS(ISNUMBER(SEARCH("PG",UPPER(SUBSTITUTE($C80,"/","-")))),84,ISNUMBER(SEARCH("SG",UPPER(SUBSTITUTE($C80,"/","-")))),76,ISNUMBER(SEARCH("SF",UPPER(SUBSTITUTE($C80,"/","-")))),68,ISNUMBER(SEARCH("PF",UPPER(SUBSTITUTE($C80,"/","-")))),55,ISNUMBER(SEARCH("C",UPPER(SUBSTITUTE($C80,"/","-")))),42,TRUE,65)+2+((195-IFERROR($D80,195))*0.14)+((95-IFERROR($E80,95))*0.09))),0))</x:f>
      </x:c>
      <x:c r="AC80" s="20" t="str">
        <x:f>IF($B80="","",ROUND(MAX(30,MIN(99,IFS(ISNUMBER(SEARCH("C",UPPER(SUBSTITUTE($C80,"/","-")))),92,ISNUMBER(SEARCH("PF",UPPER(SUBSTITUTE($C80,"/","-")))),82,ISNUMBER(SEARCH("SF",UPPER(SUBSTITUTE($C80,"/","-")))),64,ISNUMBER(SEARCH("SG",UPPER(SUBSTITUTE($C80,"/","-")))),48,ISNUMBER(SEARCH("PG",UPPER(SUBSTITUTE($C80,"/","-")))),36,TRUE,60)+((IFERROR($E80,95)-95)*0.45)+((IFERROR($D80,195)-195)*0.10)+((IFERROR($F80,200)-200)*0.08))),0))</x:f>
      </x:c>
      <x:c r="AD80" s="20" t="str">
        <x:f>IF($B80="","",ROUND(MAX(30,MIN(99,65+((IFERROR($F80,200)-200)*0.22)+((IFERROR($D80,195)-195)*0.08)-((IFERROR($E80,95)-95)*0.07))),0))</x:f>
      </x:c>
      <x:c r="AE80" s="15" t="n">
        <x:f>IFERROR(='입력데이터'!S80,0)*0.4+IFERROR(='입력데이터'!AP80,0)*0.4+IFERROR(='입력데이터'!AO80,0)*0.5</x:f>
        <x:v>0</x:v>
      </x:c>
      <x:c r="AF80" s="15" t="n">
        <x:f>IFERROR(='입력데이터'!S80,0)*0.5+IFERROR(='입력데이터'!P80,0)*0.8+IFERROR(='입력데이터'!AG80,0)</x:f>
        <x:v>0</x:v>
      </x:c>
      <x:c r="AG80" s="15" t="n">
        <x:f>IFERROR(='입력데이터'!AJ80,0)*8+IFERROR(IFERROR(='입력데이터'!AJ80,0)/IFERROR(='입력데이터'!AK80,0),0)*30</x:f>
        <x:v>0</x:v>
      </x:c>
      <x:c r="AH80" s="15" t="n">
        <x:f>IFERROR(='입력데이터'!AJ80,0)*6+IFERROR(='입력데이터'!AH80,0)*4</x:f>
        <x:v>0</x:v>
      </x:c>
      <x:c r="AI80" s="15" t="n">
        <x:f>IFERROR(='입력데이터'!AP80,0)*0.4+IFERROR(='입력데이터'!AE80,0)*1.5+IFERROR(='입력데이터'!Q80,0)*1.5</x:f>
        <x:v>0</x:v>
      </x:c>
      <x:c r="AJ80" s="15" t="n">
        <x:f>MAX(0,IFERROR(='입력데이터'!P80,0)-IFERROR(='입력데이터'!Q80,0)*2-IFERROR(='입력데이터'!T80,0)*3-IFERROR(='입력데이터'!Z80,0))*1.5+IFERROR(='입력데이터'!Y80,0)*0.3</x:f>
        <x:v>0</x:v>
      </x:c>
      <x:c r="AK80" s="15" t="n">
        <x:f>IFERROR(='입력데이터'!V80,0)*0.6+IFERROR(='입력데이터'!U80,0)*2+IFERROR(='입력데이터'!T80,0)*3</x:f>
        <x:v>0</x:v>
      </x:c>
      <x:c r="AL80" s="15" t="n">
        <x:f>IFERROR(='입력데이터'!AB80,0)*0.7+IFERROR(='입력데이터'!AA80,0)*1.5</x:f>
        <x:v>0</x:v>
      </x:c>
      <x:c r="AM80" s="15" t="n">
        <x:f>IFERROR(='입력데이터'!AF80,0)*5+IFERROR(IFERROR(='입력데이터'!AF80,0)/IFERROR(='입력데이터'!AL80,0),0)*3+IFERROR(='입력데이터'!AT80,0)</x:f>
        <x:v>0</x:v>
      </x:c>
      <x:c r="AN80" s="15" t="n">
        <x:f>IFERROR(='입력데이터'!AF80,0)*3+IFERROR(='입력데이터'!AG80,0)*3+IFERROR(IFERROR(='입력데이터'!AF80,0)/IFERROR(='입력데이터'!AL80,0),0)*4</x:f>
        <x:v>0</x:v>
      </x:c>
      <x:c r="AO80" s="15" t="n">
        <x:f>IFERROR(='입력데이터'!AG80,0)*12+IFERROR(='입력데이터'!AU80,0)*6</x:f>
        <x:v>0</x:v>
      </x:c>
      <x:c r="AP80" s="15" t="n">
        <x:f>IFERROR(='입력데이터'!AH80,0)*14+IFERROR(='입력데이터'!AD80,0)</x:f>
        <x:v>0</x:v>
      </x:c>
      <x:c r="AQ80" s="15" t="n">
        <x:f>IFERROR(='입력데이터'!AC80,0)*10</x:f>
        <x:v>0</x:v>
      </x:c>
      <x:c r="AR80" s="15" t="n">
        <x:f>IFERROR(='입력데이터'!AD80,0)*7+IFERROR(='입력데이터'!AH80,0)*2</x:f>
        <x:v>0</x:v>
      </x:c>
      <x:c r="AS80" s="15" t="n">
        <x:f>IFERROR(='입력데이터'!AH80,0)*8+IFERROR(='입력데이터'!AD80,0)*2+IFERROR(='입력데이터'!AI80,0)*4</x:f>
        <x:v>0</x:v>
      </x:c>
      <x:c r="AT80" s="16" t="n">
        <x:f>IFERROR(='입력데이터'!AG80,0)*8+IFERROR(='입력데이터'!AI80,0)*5+IFERROR(='입력데이터'!AU80,0)*4</x:f>
        <x:v>0</x:v>
      </x:c>
    </x:row>
    <x:row r="81">
      <x:c r="A81" s="14" t="str">
        <x:f>IF('입력데이터'!$B81="","",'입력데이터'!A81)</x:f>
      </x:c>
      <x:c r="B81" s="15" t="str">
        <x:f>IF('입력데이터'!$B81="","",'입력데이터'!B81)</x:f>
      </x:c>
      <x:c r="C81" s="15" t="str">
        <x:f>IF('입력데이터'!$B81="","",'입력데이터'!K81)</x:f>
      </x:c>
      <x:c r="D81" s="15" t="str">
        <x:f>IF('입력데이터'!$B81="","",'입력데이터'!H81)</x:f>
      </x:c>
      <x:c r="E81" s="15" t="str">
        <x:f>IF('입력데이터'!$B81="","",'입력데이터'!I81)</x:f>
      </x:c>
      <x:c r="F81" s="15" t="str">
        <x:f>IF('입력데이터'!$B81="","",'입력데이터'!J81)</x:f>
      </x:c>
      <x:c r="G81" s="15" t="str">
        <x:f>IF('입력데이터'!$B81="","",'입력데이터'!L81)</x:f>
      </x:c>
      <x:c r="H81" s="15" t="str">
        <x:f>IF('입력데이터'!$B81="","",'입력데이터'!O81)</x:f>
      </x:c>
      <x:c r="I81" s="20" t="str">
        <x:f>IF($B81="", "", ROUND(MAX(30, MIN(99, IFERROR((AE81-MIN($AE$2:$AE$101))/(MAX($AE$2:$AE$101)-MIN($AE$2:$AE$101))*99,30))),0))</x:f>
      </x:c>
      <x:c r="J81" s="20" t="str">
        <x:f>IF($B81="", "", ROUND(MAX(30, MIN(99, IFERROR((AF81-MIN($AF$2:$AF$101))/(MAX($AF$2:$AF$101)-MIN($AF$2:$AF$101))*99,30))),0))</x:f>
      </x:c>
      <x:c r="K81" s="20" t="str">
        <x:f>IF($B81="", "", ROUND(MAX(30, MIN(99, IFERROR((AG81-MIN($AG$2:$AG$101))/(MAX($AG$2:$AG$101)-MIN($AG$2:$AG$101))*99,30))),0))</x:f>
      </x:c>
      <x:c r="L81" s="20" t="str">
        <x:f>IF($B81="", "", ROUND(MAX(30, MIN(99, IFERROR((AH81-MIN($AH$2:$AH$101))/(MAX($AH$2:$AH$101)-MIN($AH$2:$AH$101))*99,30))),0))</x:f>
      </x:c>
      <x:c r="M81" s="20" t="str">
        <x:f>IF($B81="", "", ROUND(MAX(30, MIN(99, IFERROR((AI81-MIN($AI$2:$AI$101))/(MAX($AI$2:$AI$101)-MIN($AI$2:$AI$101))*99,30))),0))</x:f>
      </x:c>
      <x:c r="N81" s="20" t="str">
        <x:f>IF($B81="", "", ROUND(MAX(30, MIN(99, IFERROR((AJ81-MIN($AJ$2:$AJ$101))/(MAX($AJ$2:$AJ$101)-MIN($AJ$2:$AJ$101))*99,30))),0))</x:f>
      </x:c>
      <x:c r="O81" s="20" t="str">
        <x:f>IF($B81="", "", ROUND(MAX(30, MIN(99, IFERROR((AK81-MIN($AK$2:$AK$101))/(MAX($AK$2:$AK$101)-MIN($AK$2:$AK$101))*99,30))),0))</x:f>
      </x:c>
      <x:c r="P81" s="20" t="str">
        <x:f>IF($B81="", "", ROUND(MAX(30, MIN(99, IFERROR((AL81-MIN($AL$2:$AL$101))/(MAX($AL$2:$AL$101)-MIN($AL$2:$AL$101))*99,30))),0))</x:f>
      </x:c>
      <x:c r="Q81" s="20" t="str">
        <x:f>IF($B81="", "", ROUND(MAX(30, MIN(99, IFERROR((AM81-MIN($AM$2:$AM$101))/(MAX($AM$2:$AM$101)-MIN($AM$2:$AM$101))*99,30))),0))</x:f>
      </x:c>
      <x:c r="R81" s="20" t="str">
        <x:f>IF($B81="", "", ROUND(MAX(30, MIN(99, IFERROR((AN81-MIN($AN$2:$AN$101))/(MAX($AN$2:$AN$101)-MIN($AN$2:$AN$101))*99,30))),0))</x:f>
      </x:c>
      <x:c r="S81" s="20" t="str">
        <x:f>IF($B81="", "", ROUND(MAX(30, MIN(99, IFERROR((AO81-MIN($AO$2:$AO$101))/(MAX($AO$2:$AO$101)-MIN($AO$2:$AO$101))*99,30))),0))</x:f>
      </x:c>
      <x:c r="T81" s="20" t="str">
        <x:f>IF($B81="", "", ROUND(MAX(30, MIN(99, IFERROR((AP81-MIN($AP$2:$AP$101))/(MAX($AP$2:$AP$101)-MIN($AP$2:$AP$101))*99,30))),0))</x:f>
      </x:c>
      <x:c r="U81" s="20" t="str">
        <x:f>IF($B81="", "", ROUND(MAX(30, MIN(99, IFERROR((AQ81-MIN($AQ$2:$AQ$101))/(MAX($AQ$2:$AQ$101)-MIN($AQ$2:$AQ$101))*99,30))),0))</x:f>
      </x:c>
      <x:c r="V81" s="20" t="str">
        <x:f>IF($B81="", "", ROUND(MAX(30, MIN(99, IFERROR((AR81-MIN($AR$2:$AR$101))/(MAX($AR$2:$AR$101)-MIN($AR$2:$AR$101))*99,30))),0))</x:f>
      </x:c>
      <x:c r="W81" s="20" t="str">
        <x:f>IF($B81="", "", ROUND(MAX(30, MIN(99, IFERROR((AS81-MIN($AS$2:$AS$101))/(MAX($AS$2:$AS$101)-MIN($AS$2:$AS$101))*99,30))),0))</x:f>
      </x:c>
      <x:c r="X81" s="20" t="str">
        <x:f>IF($B81="", "", ROUND(MAX(30, MIN(99, IFERROR((AT81-MIN($AT$2:$AT$101))/(MAX($AT$2:$AT$101)-MIN($AT$2:$AT$101))*99,30))),0))</x:f>
      </x:c>
      <x:c r="Y81" s="20" t="str">
        <x:f>IF($B81="","",ROUND(AVERAGE(I81:X81),0))</x:f>
      </x:c>
      <x:c r="Z81" s="20" t="str">
        <x:f>IF($B81="","",ROUND(MAX(30,MIN(99,IFS(ISNUMBER(SEARCH("PG",UPPER(SUBSTITUTE($C81,"/","-")))),84,ISNUMBER(SEARCH("SG",UPPER(SUBSTITUTE($C81,"/","-")))),76,ISNUMBER(SEARCH("SF",UPPER(SUBSTITUTE($C81,"/","-")))),68,ISNUMBER(SEARCH("PF",UPPER(SUBSTITUTE($C81,"/","-")))),55,ISNUMBER(SEARCH("C",UPPER(SUBSTITUTE($C81,"/","-")))),42,TRUE,65)+((195-IFERROR($D81,195))*0.15)+((95-IFERROR($E81,95))*0.08))),0))</x:f>
      </x:c>
      <x:c r="AA81" s="20" t="str">
        <x:f>IF($B81="","",ROUND(MAX(30,MIN(99,IFS(ISNUMBER(SEARCH("PG",UPPER(SUBSTITUTE($C81,"/","-")))),84,ISNUMBER(SEARCH("SG",UPPER(SUBSTITUTE($C81,"/","-")))),76,ISNUMBER(SEARCH("SF",UPPER(SUBSTITUTE($C81,"/","-")))),68,ISNUMBER(SEARCH("PF",UPPER(SUBSTITUTE($C81,"/","-")))),55,ISNUMBER(SEARCH("C",UPPER(SUBSTITUTE($C81,"/","-")))),42,TRUE,65)+((195-IFERROR($D81,195))*0.18)+((95-IFERROR($E81,95))*0.10))),0))</x:f>
      </x:c>
      <x:c r="AB81" s="20" t="str">
        <x:f>IF($B81="","",ROUND(MAX(30,MIN(99,IFS(ISNUMBER(SEARCH("PG",UPPER(SUBSTITUTE($C81,"/","-")))),84,ISNUMBER(SEARCH("SG",UPPER(SUBSTITUTE($C81,"/","-")))),76,ISNUMBER(SEARCH("SF",UPPER(SUBSTITUTE($C81,"/","-")))),68,ISNUMBER(SEARCH("PF",UPPER(SUBSTITUTE($C81,"/","-")))),55,ISNUMBER(SEARCH("C",UPPER(SUBSTITUTE($C81,"/","-")))),42,TRUE,65)+2+((195-IFERROR($D81,195))*0.14)+((95-IFERROR($E81,95))*0.09))),0))</x:f>
      </x:c>
      <x:c r="AC81" s="20" t="str">
        <x:f>IF($B81="","",ROUND(MAX(30,MIN(99,IFS(ISNUMBER(SEARCH("C",UPPER(SUBSTITUTE($C81,"/","-")))),92,ISNUMBER(SEARCH("PF",UPPER(SUBSTITUTE($C81,"/","-")))),82,ISNUMBER(SEARCH("SF",UPPER(SUBSTITUTE($C81,"/","-")))),64,ISNUMBER(SEARCH("SG",UPPER(SUBSTITUTE($C81,"/","-")))),48,ISNUMBER(SEARCH("PG",UPPER(SUBSTITUTE($C81,"/","-")))),36,TRUE,60)+((IFERROR($E81,95)-95)*0.45)+((IFERROR($D81,195)-195)*0.10)+((IFERROR($F81,200)-200)*0.08))),0))</x:f>
      </x:c>
      <x:c r="AD81" s="20" t="str">
        <x:f>IF($B81="","",ROUND(MAX(30,MIN(99,65+((IFERROR($F81,200)-200)*0.22)+((IFERROR($D81,195)-195)*0.08)-((IFERROR($E81,95)-95)*0.07))),0))</x:f>
      </x:c>
      <x:c r="AE81" s="15" t="n">
        <x:f>IFERROR(='입력데이터'!S81,0)*0.4+IFERROR(='입력데이터'!AP81,0)*0.4+IFERROR(='입력데이터'!AO81,0)*0.5</x:f>
        <x:v>0</x:v>
      </x:c>
      <x:c r="AF81" s="15" t="n">
        <x:f>IFERROR(='입력데이터'!S81,0)*0.5+IFERROR(='입력데이터'!P81,0)*0.8+IFERROR(='입력데이터'!AG81,0)</x:f>
        <x:v>0</x:v>
      </x:c>
      <x:c r="AG81" s="15" t="n">
        <x:f>IFERROR(='입력데이터'!AJ81,0)*8+IFERROR(IFERROR(='입력데이터'!AJ81,0)/IFERROR(='입력데이터'!AK81,0),0)*30</x:f>
        <x:v>0</x:v>
      </x:c>
      <x:c r="AH81" s="15" t="n">
        <x:f>IFERROR(='입력데이터'!AJ81,0)*6+IFERROR(='입력데이터'!AH81,0)*4</x:f>
        <x:v>0</x:v>
      </x:c>
      <x:c r="AI81" s="15" t="n">
        <x:f>IFERROR(='입력데이터'!AP81,0)*0.4+IFERROR(='입력데이터'!AE81,0)*1.5+IFERROR(='입력데이터'!Q81,0)*1.5</x:f>
        <x:v>0</x:v>
      </x:c>
      <x:c r="AJ81" s="15" t="n">
        <x:f>MAX(0,IFERROR(='입력데이터'!P81,0)-IFERROR(='입력데이터'!Q81,0)*2-IFERROR(='입력데이터'!T81,0)*3-IFERROR(='입력데이터'!Z81,0))*1.5+IFERROR(='입력데이터'!Y81,0)*0.3</x:f>
        <x:v>0</x:v>
      </x:c>
      <x:c r="AK81" s="15" t="n">
        <x:f>IFERROR(='입력데이터'!V81,0)*0.6+IFERROR(='입력데이터'!U81,0)*2+IFERROR(='입력데이터'!T81,0)*3</x:f>
        <x:v>0</x:v>
      </x:c>
      <x:c r="AL81" s="15" t="n">
        <x:f>IFERROR(='입력데이터'!AB81,0)*0.7+IFERROR(='입력데이터'!AA81,0)*1.5</x:f>
        <x:v>0</x:v>
      </x:c>
      <x:c r="AM81" s="15" t="n">
        <x:f>IFERROR(='입력데이터'!AF81,0)*5+IFERROR(IFERROR(='입력데이터'!AF81,0)/IFERROR(='입력데이터'!AL81,0),0)*3+IFERROR(='입력데이터'!AT81,0)</x:f>
        <x:v>0</x:v>
      </x:c>
      <x:c r="AN81" s="15" t="n">
        <x:f>IFERROR(='입력데이터'!AF81,0)*3+IFERROR(='입력데이터'!AG81,0)*3+IFERROR(IFERROR(='입력데이터'!AF81,0)/IFERROR(='입력데이터'!AL81,0),0)*4</x:f>
        <x:v>0</x:v>
      </x:c>
      <x:c r="AO81" s="15" t="n">
        <x:f>IFERROR(='입력데이터'!AG81,0)*12+IFERROR(='입력데이터'!AU81,0)*6</x:f>
        <x:v>0</x:v>
      </x:c>
      <x:c r="AP81" s="15" t="n">
        <x:f>IFERROR(='입력데이터'!AH81,0)*14+IFERROR(='입력데이터'!AD81,0)</x:f>
        <x:v>0</x:v>
      </x:c>
      <x:c r="AQ81" s="15" t="n">
        <x:f>IFERROR(='입력데이터'!AC81,0)*10</x:f>
        <x:v>0</x:v>
      </x:c>
      <x:c r="AR81" s="15" t="n">
        <x:f>IFERROR(='입력데이터'!AD81,0)*7+IFERROR(='입력데이터'!AH81,0)*2</x:f>
        <x:v>0</x:v>
      </x:c>
      <x:c r="AS81" s="15" t="n">
        <x:f>IFERROR(='입력데이터'!AH81,0)*8+IFERROR(='입력데이터'!AD81,0)*2+IFERROR(='입력데이터'!AI81,0)*4</x:f>
        <x:v>0</x:v>
      </x:c>
      <x:c r="AT81" s="16" t="n">
        <x:f>IFERROR(='입력데이터'!AG81,0)*8+IFERROR(='입력데이터'!AI81,0)*5+IFERROR(='입력데이터'!AU81,0)*4</x:f>
        <x:v>0</x:v>
      </x:c>
    </x:row>
    <x:row r="82">
      <x:c r="A82" s="14" t="str">
        <x:f>IF('입력데이터'!$B82="","",'입력데이터'!A82)</x:f>
      </x:c>
      <x:c r="B82" s="15" t="str">
        <x:f>IF('입력데이터'!$B82="","",'입력데이터'!B82)</x:f>
      </x:c>
      <x:c r="C82" s="15" t="str">
        <x:f>IF('입력데이터'!$B82="","",'입력데이터'!K82)</x:f>
      </x:c>
      <x:c r="D82" s="15" t="str">
        <x:f>IF('입력데이터'!$B82="","",'입력데이터'!H82)</x:f>
      </x:c>
      <x:c r="E82" s="15" t="str">
        <x:f>IF('입력데이터'!$B82="","",'입력데이터'!I82)</x:f>
      </x:c>
      <x:c r="F82" s="15" t="str">
        <x:f>IF('입력데이터'!$B82="","",'입력데이터'!J82)</x:f>
      </x:c>
      <x:c r="G82" s="15" t="str">
        <x:f>IF('입력데이터'!$B82="","",'입력데이터'!L82)</x:f>
      </x:c>
      <x:c r="H82" s="15" t="str">
        <x:f>IF('입력데이터'!$B82="","",'입력데이터'!O82)</x:f>
      </x:c>
      <x:c r="I82" s="20" t="str">
        <x:f>IF($B82="", "", ROUND(MAX(30, MIN(99, IFERROR((AE82-MIN($AE$2:$AE$101))/(MAX($AE$2:$AE$101)-MIN($AE$2:$AE$101))*99,30))),0))</x:f>
      </x:c>
      <x:c r="J82" s="20" t="str">
        <x:f>IF($B82="", "", ROUND(MAX(30, MIN(99, IFERROR((AF82-MIN($AF$2:$AF$101))/(MAX($AF$2:$AF$101)-MIN($AF$2:$AF$101))*99,30))),0))</x:f>
      </x:c>
      <x:c r="K82" s="20" t="str">
        <x:f>IF($B82="", "", ROUND(MAX(30, MIN(99, IFERROR((AG82-MIN($AG$2:$AG$101))/(MAX($AG$2:$AG$101)-MIN($AG$2:$AG$101))*99,30))),0))</x:f>
      </x:c>
      <x:c r="L82" s="20" t="str">
        <x:f>IF($B82="", "", ROUND(MAX(30, MIN(99, IFERROR((AH82-MIN($AH$2:$AH$101))/(MAX($AH$2:$AH$101)-MIN($AH$2:$AH$101))*99,30))),0))</x:f>
      </x:c>
      <x:c r="M82" s="20" t="str">
        <x:f>IF($B82="", "", ROUND(MAX(30, MIN(99, IFERROR((AI82-MIN($AI$2:$AI$101))/(MAX($AI$2:$AI$101)-MIN($AI$2:$AI$101))*99,30))),0))</x:f>
      </x:c>
      <x:c r="N82" s="20" t="str">
        <x:f>IF($B82="", "", ROUND(MAX(30, MIN(99, IFERROR((AJ82-MIN($AJ$2:$AJ$101))/(MAX($AJ$2:$AJ$101)-MIN($AJ$2:$AJ$101))*99,30))),0))</x:f>
      </x:c>
      <x:c r="O82" s="20" t="str">
        <x:f>IF($B82="", "", ROUND(MAX(30, MIN(99, IFERROR((AK82-MIN($AK$2:$AK$101))/(MAX($AK$2:$AK$101)-MIN($AK$2:$AK$101))*99,30))),0))</x:f>
      </x:c>
      <x:c r="P82" s="20" t="str">
        <x:f>IF($B82="", "", ROUND(MAX(30, MIN(99, IFERROR((AL82-MIN($AL$2:$AL$101))/(MAX($AL$2:$AL$101)-MIN($AL$2:$AL$101))*99,30))),0))</x:f>
      </x:c>
      <x:c r="Q82" s="20" t="str">
        <x:f>IF($B82="", "", ROUND(MAX(30, MIN(99, IFERROR((AM82-MIN($AM$2:$AM$101))/(MAX($AM$2:$AM$101)-MIN($AM$2:$AM$101))*99,30))),0))</x:f>
      </x:c>
      <x:c r="R82" s="20" t="str">
        <x:f>IF($B82="", "", ROUND(MAX(30, MIN(99, IFERROR((AN82-MIN($AN$2:$AN$101))/(MAX($AN$2:$AN$101)-MIN($AN$2:$AN$101))*99,30))),0))</x:f>
      </x:c>
      <x:c r="S82" s="20" t="str">
        <x:f>IF($B82="", "", ROUND(MAX(30, MIN(99, IFERROR((AO82-MIN($AO$2:$AO$101))/(MAX($AO$2:$AO$101)-MIN($AO$2:$AO$101))*99,30))),0))</x:f>
      </x:c>
      <x:c r="T82" s="20" t="str">
        <x:f>IF($B82="", "", ROUND(MAX(30, MIN(99, IFERROR((AP82-MIN($AP$2:$AP$101))/(MAX($AP$2:$AP$101)-MIN($AP$2:$AP$101))*99,30))),0))</x:f>
      </x:c>
      <x:c r="U82" s="20" t="str">
        <x:f>IF($B82="", "", ROUND(MAX(30, MIN(99, IFERROR((AQ82-MIN($AQ$2:$AQ$101))/(MAX($AQ$2:$AQ$101)-MIN($AQ$2:$AQ$101))*99,30))),0))</x:f>
      </x:c>
      <x:c r="V82" s="20" t="str">
        <x:f>IF($B82="", "", ROUND(MAX(30, MIN(99, IFERROR((AR82-MIN($AR$2:$AR$101))/(MAX($AR$2:$AR$101)-MIN($AR$2:$AR$101))*99,30))),0))</x:f>
      </x:c>
      <x:c r="W82" s="20" t="str">
        <x:f>IF($B82="", "", ROUND(MAX(30, MIN(99, IFERROR((AS82-MIN($AS$2:$AS$101))/(MAX($AS$2:$AS$101)-MIN($AS$2:$AS$101))*99,30))),0))</x:f>
      </x:c>
      <x:c r="X82" s="20" t="str">
        <x:f>IF($B82="", "", ROUND(MAX(30, MIN(99, IFERROR((AT82-MIN($AT$2:$AT$101))/(MAX($AT$2:$AT$101)-MIN($AT$2:$AT$101))*99,30))),0))</x:f>
      </x:c>
      <x:c r="Y82" s="20" t="str">
        <x:f>IF($B82="","",ROUND(AVERAGE(I82:X82),0))</x:f>
      </x:c>
      <x:c r="Z82" s="20" t="str">
        <x:f>IF($B82="","",ROUND(MAX(30,MIN(99,IFS(ISNUMBER(SEARCH("PG",UPPER(SUBSTITUTE($C82,"/","-")))),84,ISNUMBER(SEARCH("SG",UPPER(SUBSTITUTE($C82,"/","-")))),76,ISNUMBER(SEARCH("SF",UPPER(SUBSTITUTE($C82,"/","-")))),68,ISNUMBER(SEARCH("PF",UPPER(SUBSTITUTE($C82,"/","-")))),55,ISNUMBER(SEARCH("C",UPPER(SUBSTITUTE($C82,"/","-")))),42,TRUE,65)+((195-IFERROR($D82,195))*0.15)+((95-IFERROR($E82,95))*0.08))),0))</x:f>
      </x:c>
      <x:c r="AA82" s="20" t="str">
        <x:f>IF($B82="","",ROUND(MAX(30,MIN(99,IFS(ISNUMBER(SEARCH("PG",UPPER(SUBSTITUTE($C82,"/","-")))),84,ISNUMBER(SEARCH("SG",UPPER(SUBSTITUTE($C82,"/","-")))),76,ISNUMBER(SEARCH("SF",UPPER(SUBSTITUTE($C82,"/","-")))),68,ISNUMBER(SEARCH("PF",UPPER(SUBSTITUTE($C82,"/","-")))),55,ISNUMBER(SEARCH("C",UPPER(SUBSTITUTE($C82,"/","-")))),42,TRUE,65)+((195-IFERROR($D82,195))*0.18)+((95-IFERROR($E82,95))*0.10))),0))</x:f>
      </x:c>
      <x:c r="AB82" s="20" t="str">
        <x:f>IF($B82="","",ROUND(MAX(30,MIN(99,IFS(ISNUMBER(SEARCH("PG",UPPER(SUBSTITUTE($C82,"/","-")))),84,ISNUMBER(SEARCH("SG",UPPER(SUBSTITUTE($C82,"/","-")))),76,ISNUMBER(SEARCH("SF",UPPER(SUBSTITUTE($C82,"/","-")))),68,ISNUMBER(SEARCH("PF",UPPER(SUBSTITUTE($C82,"/","-")))),55,ISNUMBER(SEARCH("C",UPPER(SUBSTITUTE($C82,"/","-")))),42,TRUE,65)+2+((195-IFERROR($D82,195))*0.14)+((95-IFERROR($E82,95))*0.09))),0))</x:f>
      </x:c>
      <x:c r="AC82" s="20" t="str">
        <x:f>IF($B82="","",ROUND(MAX(30,MIN(99,IFS(ISNUMBER(SEARCH("C",UPPER(SUBSTITUTE($C82,"/","-")))),92,ISNUMBER(SEARCH("PF",UPPER(SUBSTITUTE($C82,"/","-")))),82,ISNUMBER(SEARCH("SF",UPPER(SUBSTITUTE($C82,"/","-")))),64,ISNUMBER(SEARCH("SG",UPPER(SUBSTITUTE($C82,"/","-")))),48,ISNUMBER(SEARCH("PG",UPPER(SUBSTITUTE($C82,"/","-")))),36,TRUE,60)+((IFERROR($E82,95)-95)*0.45)+((IFERROR($D82,195)-195)*0.10)+((IFERROR($F82,200)-200)*0.08))),0))</x:f>
      </x:c>
      <x:c r="AD82" s="20" t="str">
        <x:f>IF($B82="","",ROUND(MAX(30,MIN(99,65+((IFERROR($F82,200)-200)*0.22)+((IFERROR($D82,195)-195)*0.08)-((IFERROR($E82,95)-95)*0.07))),0))</x:f>
      </x:c>
      <x:c r="AE82" s="15" t="n">
        <x:f>IFERROR(='입력데이터'!S82,0)*0.4+IFERROR(='입력데이터'!AP82,0)*0.4+IFERROR(='입력데이터'!AO82,0)*0.5</x:f>
        <x:v>0</x:v>
      </x:c>
      <x:c r="AF82" s="15" t="n">
        <x:f>IFERROR(='입력데이터'!S82,0)*0.5+IFERROR(='입력데이터'!P82,0)*0.8+IFERROR(='입력데이터'!AG82,0)</x:f>
        <x:v>0</x:v>
      </x:c>
      <x:c r="AG82" s="15" t="n">
        <x:f>IFERROR(='입력데이터'!AJ82,0)*8+IFERROR(IFERROR(='입력데이터'!AJ82,0)/IFERROR(='입력데이터'!AK82,0),0)*30</x:f>
        <x:v>0</x:v>
      </x:c>
      <x:c r="AH82" s="15" t="n">
        <x:f>IFERROR(='입력데이터'!AJ82,0)*6+IFERROR(='입력데이터'!AH82,0)*4</x:f>
        <x:v>0</x:v>
      </x:c>
      <x:c r="AI82" s="15" t="n">
        <x:f>IFERROR(='입력데이터'!AP82,0)*0.4+IFERROR(='입력데이터'!AE82,0)*1.5+IFERROR(='입력데이터'!Q82,0)*1.5</x:f>
        <x:v>0</x:v>
      </x:c>
      <x:c r="AJ82" s="15" t="n">
        <x:f>MAX(0,IFERROR(='입력데이터'!P82,0)-IFERROR(='입력데이터'!Q82,0)*2-IFERROR(='입력데이터'!T82,0)*3-IFERROR(='입력데이터'!Z82,0))*1.5+IFERROR(='입력데이터'!Y82,0)*0.3</x:f>
        <x:v>0</x:v>
      </x:c>
      <x:c r="AK82" s="15" t="n">
        <x:f>IFERROR(='입력데이터'!V82,0)*0.6+IFERROR(='입력데이터'!U82,0)*2+IFERROR(='입력데이터'!T82,0)*3</x:f>
        <x:v>0</x:v>
      </x:c>
      <x:c r="AL82" s="15" t="n">
        <x:f>IFERROR(='입력데이터'!AB82,0)*0.7+IFERROR(='입력데이터'!AA82,0)*1.5</x:f>
        <x:v>0</x:v>
      </x:c>
      <x:c r="AM82" s="15" t="n">
        <x:f>IFERROR(='입력데이터'!AF82,0)*5+IFERROR(IFERROR(='입력데이터'!AF82,0)/IFERROR(='입력데이터'!AL82,0),0)*3+IFERROR(='입력데이터'!AT82,0)</x:f>
        <x:v>0</x:v>
      </x:c>
      <x:c r="AN82" s="15" t="n">
        <x:f>IFERROR(='입력데이터'!AF82,0)*3+IFERROR(='입력데이터'!AG82,0)*3+IFERROR(IFERROR(='입력데이터'!AF82,0)/IFERROR(='입력데이터'!AL82,0),0)*4</x:f>
        <x:v>0</x:v>
      </x:c>
      <x:c r="AO82" s="15" t="n">
        <x:f>IFERROR(='입력데이터'!AG82,0)*12+IFERROR(='입력데이터'!AU82,0)*6</x:f>
        <x:v>0</x:v>
      </x:c>
      <x:c r="AP82" s="15" t="n">
        <x:f>IFERROR(='입력데이터'!AH82,0)*14+IFERROR(='입력데이터'!AD82,0)</x:f>
        <x:v>0</x:v>
      </x:c>
      <x:c r="AQ82" s="15" t="n">
        <x:f>IFERROR(='입력데이터'!AC82,0)*10</x:f>
        <x:v>0</x:v>
      </x:c>
      <x:c r="AR82" s="15" t="n">
        <x:f>IFERROR(='입력데이터'!AD82,0)*7+IFERROR(='입력데이터'!AH82,0)*2</x:f>
        <x:v>0</x:v>
      </x:c>
      <x:c r="AS82" s="15" t="n">
        <x:f>IFERROR(='입력데이터'!AH82,0)*8+IFERROR(='입력데이터'!AD82,0)*2+IFERROR(='입력데이터'!AI82,0)*4</x:f>
        <x:v>0</x:v>
      </x:c>
      <x:c r="AT82" s="16" t="n">
        <x:f>IFERROR(='입력데이터'!AG82,0)*8+IFERROR(='입력데이터'!AI82,0)*5+IFERROR(='입력데이터'!AU82,0)*4</x:f>
        <x:v>0</x:v>
      </x:c>
    </x:row>
    <x:row r="83">
      <x:c r="A83" s="14" t="str">
        <x:f>IF('입력데이터'!$B83="","",'입력데이터'!A83)</x:f>
      </x:c>
      <x:c r="B83" s="15" t="str">
        <x:f>IF('입력데이터'!$B83="","",'입력데이터'!B83)</x:f>
      </x:c>
      <x:c r="C83" s="15" t="str">
        <x:f>IF('입력데이터'!$B83="","",'입력데이터'!K83)</x:f>
      </x:c>
      <x:c r="D83" s="15" t="str">
        <x:f>IF('입력데이터'!$B83="","",'입력데이터'!H83)</x:f>
      </x:c>
      <x:c r="E83" s="15" t="str">
        <x:f>IF('입력데이터'!$B83="","",'입력데이터'!I83)</x:f>
      </x:c>
      <x:c r="F83" s="15" t="str">
        <x:f>IF('입력데이터'!$B83="","",'입력데이터'!J83)</x:f>
      </x:c>
      <x:c r="G83" s="15" t="str">
        <x:f>IF('입력데이터'!$B83="","",'입력데이터'!L83)</x:f>
      </x:c>
      <x:c r="H83" s="15" t="str">
        <x:f>IF('입력데이터'!$B83="","",'입력데이터'!O83)</x:f>
      </x:c>
      <x:c r="I83" s="20" t="str">
        <x:f>IF($B83="", "", ROUND(MAX(30, MIN(99, IFERROR((AE83-MIN($AE$2:$AE$101))/(MAX($AE$2:$AE$101)-MIN($AE$2:$AE$101))*99,30))),0))</x:f>
      </x:c>
      <x:c r="J83" s="20" t="str">
        <x:f>IF($B83="", "", ROUND(MAX(30, MIN(99, IFERROR((AF83-MIN($AF$2:$AF$101))/(MAX($AF$2:$AF$101)-MIN($AF$2:$AF$101))*99,30))),0))</x:f>
      </x:c>
      <x:c r="K83" s="20" t="str">
        <x:f>IF($B83="", "", ROUND(MAX(30, MIN(99, IFERROR((AG83-MIN($AG$2:$AG$101))/(MAX($AG$2:$AG$101)-MIN($AG$2:$AG$101))*99,30))),0))</x:f>
      </x:c>
      <x:c r="L83" s="20" t="str">
        <x:f>IF($B83="", "", ROUND(MAX(30, MIN(99, IFERROR((AH83-MIN($AH$2:$AH$101))/(MAX($AH$2:$AH$101)-MIN($AH$2:$AH$101))*99,30))),0))</x:f>
      </x:c>
      <x:c r="M83" s="20" t="str">
        <x:f>IF($B83="", "", ROUND(MAX(30, MIN(99, IFERROR((AI83-MIN($AI$2:$AI$101))/(MAX($AI$2:$AI$101)-MIN($AI$2:$AI$101))*99,30))),0))</x:f>
      </x:c>
      <x:c r="N83" s="20" t="str">
        <x:f>IF($B83="", "", ROUND(MAX(30, MIN(99, IFERROR((AJ83-MIN($AJ$2:$AJ$101))/(MAX($AJ$2:$AJ$101)-MIN($AJ$2:$AJ$101))*99,30))),0))</x:f>
      </x:c>
      <x:c r="O83" s="20" t="str">
        <x:f>IF($B83="", "", ROUND(MAX(30, MIN(99, IFERROR((AK83-MIN($AK$2:$AK$101))/(MAX($AK$2:$AK$101)-MIN($AK$2:$AK$101))*99,30))),0))</x:f>
      </x:c>
      <x:c r="P83" s="20" t="str">
        <x:f>IF($B83="", "", ROUND(MAX(30, MIN(99, IFERROR((AL83-MIN($AL$2:$AL$101))/(MAX($AL$2:$AL$101)-MIN($AL$2:$AL$101))*99,30))),0))</x:f>
      </x:c>
      <x:c r="Q83" s="20" t="str">
        <x:f>IF($B83="", "", ROUND(MAX(30, MIN(99, IFERROR((AM83-MIN($AM$2:$AM$101))/(MAX($AM$2:$AM$101)-MIN($AM$2:$AM$101))*99,30))),0))</x:f>
      </x:c>
      <x:c r="R83" s="20" t="str">
        <x:f>IF($B83="", "", ROUND(MAX(30, MIN(99, IFERROR((AN83-MIN($AN$2:$AN$101))/(MAX($AN$2:$AN$101)-MIN($AN$2:$AN$101))*99,30))),0))</x:f>
      </x:c>
      <x:c r="S83" s="20" t="str">
        <x:f>IF($B83="", "", ROUND(MAX(30, MIN(99, IFERROR((AO83-MIN($AO$2:$AO$101))/(MAX($AO$2:$AO$101)-MIN($AO$2:$AO$101))*99,30))),0))</x:f>
      </x:c>
      <x:c r="T83" s="20" t="str">
        <x:f>IF($B83="", "", ROUND(MAX(30, MIN(99, IFERROR((AP83-MIN($AP$2:$AP$101))/(MAX($AP$2:$AP$101)-MIN($AP$2:$AP$101))*99,30))),0))</x:f>
      </x:c>
      <x:c r="U83" s="20" t="str">
        <x:f>IF($B83="", "", ROUND(MAX(30, MIN(99, IFERROR((AQ83-MIN($AQ$2:$AQ$101))/(MAX($AQ$2:$AQ$101)-MIN($AQ$2:$AQ$101))*99,30))),0))</x:f>
      </x:c>
      <x:c r="V83" s="20" t="str">
        <x:f>IF($B83="", "", ROUND(MAX(30, MIN(99, IFERROR((AR83-MIN($AR$2:$AR$101))/(MAX($AR$2:$AR$101)-MIN($AR$2:$AR$101))*99,30))),0))</x:f>
      </x:c>
      <x:c r="W83" s="20" t="str">
        <x:f>IF($B83="", "", ROUND(MAX(30, MIN(99, IFERROR((AS83-MIN($AS$2:$AS$101))/(MAX($AS$2:$AS$101)-MIN($AS$2:$AS$101))*99,30))),0))</x:f>
      </x:c>
      <x:c r="X83" s="20" t="str">
        <x:f>IF($B83="", "", ROUND(MAX(30, MIN(99, IFERROR((AT83-MIN($AT$2:$AT$101))/(MAX($AT$2:$AT$101)-MIN($AT$2:$AT$101))*99,30))),0))</x:f>
      </x:c>
      <x:c r="Y83" s="20" t="str">
        <x:f>IF($B83="","",ROUND(AVERAGE(I83:X83),0))</x:f>
      </x:c>
      <x:c r="Z83" s="20" t="str">
        <x:f>IF($B83="","",ROUND(MAX(30,MIN(99,IFS(ISNUMBER(SEARCH("PG",UPPER(SUBSTITUTE($C83,"/","-")))),84,ISNUMBER(SEARCH("SG",UPPER(SUBSTITUTE($C83,"/","-")))),76,ISNUMBER(SEARCH("SF",UPPER(SUBSTITUTE($C83,"/","-")))),68,ISNUMBER(SEARCH("PF",UPPER(SUBSTITUTE($C83,"/","-")))),55,ISNUMBER(SEARCH("C",UPPER(SUBSTITUTE($C83,"/","-")))),42,TRUE,65)+((195-IFERROR($D83,195))*0.15)+((95-IFERROR($E83,95))*0.08))),0))</x:f>
      </x:c>
      <x:c r="AA83" s="20" t="str">
        <x:f>IF($B83="","",ROUND(MAX(30,MIN(99,IFS(ISNUMBER(SEARCH("PG",UPPER(SUBSTITUTE($C83,"/","-")))),84,ISNUMBER(SEARCH("SG",UPPER(SUBSTITUTE($C83,"/","-")))),76,ISNUMBER(SEARCH("SF",UPPER(SUBSTITUTE($C83,"/","-")))),68,ISNUMBER(SEARCH("PF",UPPER(SUBSTITUTE($C83,"/","-")))),55,ISNUMBER(SEARCH("C",UPPER(SUBSTITUTE($C83,"/","-")))),42,TRUE,65)+((195-IFERROR($D83,195))*0.18)+((95-IFERROR($E83,95))*0.10))),0))</x:f>
      </x:c>
      <x:c r="AB83" s="20" t="str">
        <x:f>IF($B83="","",ROUND(MAX(30,MIN(99,IFS(ISNUMBER(SEARCH("PG",UPPER(SUBSTITUTE($C83,"/","-")))),84,ISNUMBER(SEARCH("SG",UPPER(SUBSTITUTE($C83,"/","-")))),76,ISNUMBER(SEARCH("SF",UPPER(SUBSTITUTE($C83,"/","-")))),68,ISNUMBER(SEARCH("PF",UPPER(SUBSTITUTE($C83,"/","-")))),55,ISNUMBER(SEARCH("C",UPPER(SUBSTITUTE($C83,"/","-")))),42,TRUE,65)+2+((195-IFERROR($D83,195))*0.14)+((95-IFERROR($E83,95))*0.09))),0))</x:f>
      </x:c>
      <x:c r="AC83" s="20" t="str">
        <x:f>IF($B83="","",ROUND(MAX(30,MIN(99,IFS(ISNUMBER(SEARCH("C",UPPER(SUBSTITUTE($C83,"/","-")))),92,ISNUMBER(SEARCH("PF",UPPER(SUBSTITUTE($C83,"/","-")))),82,ISNUMBER(SEARCH("SF",UPPER(SUBSTITUTE($C83,"/","-")))),64,ISNUMBER(SEARCH("SG",UPPER(SUBSTITUTE($C83,"/","-")))),48,ISNUMBER(SEARCH("PG",UPPER(SUBSTITUTE($C83,"/","-")))),36,TRUE,60)+((IFERROR($E83,95)-95)*0.45)+((IFERROR($D83,195)-195)*0.10)+((IFERROR($F83,200)-200)*0.08))),0))</x:f>
      </x:c>
      <x:c r="AD83" s="20" t="str">
        <x:f>IF($B83="","",ROUND(MAX(30,MIN(99,65+((IFERROR($F83,200)-200)*0.22)+((IFERROR($D83,195)-195)*0.08)-((IFERROR($E83,95)-95)*0.07))),0))</x:f>
      </x:c>
      <x:c r="AE83" s="15" t="n">
        <x:f>IFERROR(='입력데이터'!S83,0)*0.4+IFERROR(='입력데이터'!AP83,0)*0.4+IFERROR(='입력데이터'!AO83,0)*0.5</x:f>
        <x:v>0</x:v>
      </x:c>
      <x:c r="AF83" s="15" t="n">
        <x:f>IFERROR(='입력데이터'!S83,0)*0.5+IFERROR(='입력데이터'!P83,0)*0.8+IFERROR(='입력데이터'!AG83,0)</x:f>
        <x:v>0</x:v>
      </x:c>
      <x:c r="AG83" s="15" t="n">
        <x:f>IFERROR(='입력데이터'!AJ83,0)*8+IFERROR(IFERROR(='입력데이터'!AJ83,0)/IFERROR(='입력데이터'!AK83,0),0)*30</x:f>
        <x:v>0</x:v>
      </x:c>
      <x:c r="AH83" s="15" t="n">
        <x:f>IFERROR(='입력데이터'!AJ83,0)*6+IFERROR(='입력데이터'!AH83,0)*4</x:f>
        <x:v>0</x:v>
      </x:c>
      <x:c r="AI83" s="15" t="n">
        <x:f>IFERROR(='입력데이터'!AP83,0)*0.4+IFERROR(='입력데이터'!AE83,0)*1.5+IFERROR(='입력데이터'!Q83,0)*1.5</x:f>
        <x:v>0</x:v>
      </x:c>
      <x:c r="AJ83" s="15" t="n">
        <x:f>MAX(0,IFERROR(='입력데이터'!P83,0)-IFERROR(='입력데이터'!Q83,0)*2-IFERROR(='입력데이터'!T83,0)*3-IFERROR(='입력데이터'!Z83,0))*1.5+IFERROR(='입력데이터'!Y83,0)*0.3</x:f>
        <x:v>0</x:v>
      </x:c>
      <x:c r="AK83" s="15" t="n">
        <x:f>IFERROR(='입력데이터'!V83,0)*0.6+IFERROR(='입력데이터'!U83,0)*2+IFERROR(='입력데이터'!T83,0)*3</x:f>
        <x:v>0</x:v>
      </x:c>
      <x:c r="AL83" s="15" t="n">
        <x:f>IFERROR(='입력데이터'!AB83,0)*0.7+IFERROR(='입력데이터'!AA83,0)*1.5</x:f>
        <x:v>0</x:v>
      </x:c>
      <x:c r="AM83" s="15" t="n">
        <x:f>IFERROR(='입력데이터'!AF83,0)*5+IFERROR(IFERROR(='입력데이터'!AF83,0)/IFERROR(='입력데이터'!AL83,0),0)*3+IFERROR(='입력데이터'!AT83,0)</x:f>
        <x:v>0</x:v>
      </x:c>
      <x:c r="AN83" s="15" t="n">
        <x:f>IFERROR(='입력데이터'!AF83,0)*3+IFERROR(='입력데이터'!AG83,0)*3+IFERROR(IFERROR(='입력데이터'!AF83,0)/IFERROR(='입력데이터'!AL83,0),0)*4</x:f>
        <x:v>0</x:v>
      </x:c>
      <x:c r="AO83" s="15" t="n">
        <x:f>IFERROR(='입력데이터'!AG83,0)*12+IFERROR(='입력데이터'!AU83,0)*6</x:f>
        <x:v>0</x:v>
      </x:c>
      <x:c r="AP83" s="15" t="n">
        <x:f>IFERROR(='입력데이터'!AH83,0)*14+IFERROR(='입력데이터'!AD83,0)</x:f>
        <x:v>0</x:v>
      </x:c>
      <x:c r="AQ83" s="15" t="n">
        <x:f>IFERROR(='입력데이터'!AC83,0)*10</x:f>
        <x:v>0</x:v>
      </x:c>
      <x:c r="AR83" s="15" t="n">
        <x:f>IFERROR(='입력데이터'!AD83,0)*7+IFERROR(='입력데이터'!AH83,0)*2</x:f>
        <x:v>0</x:v>
      </x:c>
      <x:c r="AS83" s="15" t="n">
        <x:f>IFERROR(='입력데이터'!AH83,0)*8+IFERROR(='입력데이터'!AD83,0)*2+IFERROR(='입력데이터'!AI83,0)*4</x:f>
        <x:v>0</x:v>
      </x:c>
      <x:c r="AT83" s="16" t="n">
        <x:f>IFERROR(='입력데이터'!AG83,0)*8+IFERROR(='입력데이터'!AI83,0)*5+IFERROR(='입력데이터'!AU83,0)*4</x:f>
        <x:v>0</x:v>
      </x:c>
    </x:row>
    <x:row r="84">
      <x:c r="A84" s="14" t="str">
        <x:f>IF('입력데이터'!$B84="","",'입력데이터'!A84)</x:f>
      </x:c>
      <x:c r="B84" s="15" t="str">
        <x:f>IF('입력데이터'!$B84="","",'입력데이터'!B84)</x:f>
      </x:c>
      <x:c r="C84" s="15" t="str">
        <x:f>IF('입력데이터'!$B84="","",'입력데이터'!K84)</x:f>
      </x:c>
      <x:c r="D84" s="15" t="str">
        <x:f>IF('입력데이터'!$B84="","",'입력데이터'!H84)</x:f>
      </x:c>
      <x:c r="E84" s="15" t="str">
        <x:f>IF('입력데이터'!$B84="","",'입력데이터'!I84)</x:f>
      </x:c>
      <x:c r="F84" s="15" t="str">
        <x:f>IF('입력데이터'!$B84="","",'입력데이터'!J84)</x:f>
      </x:c>
      <x:c r="G84" s="15" t="str">
        <x:f>IF('입력데이터'!$B84="","",'입력데이터'!L84)</x:f>
      </x:c>
      <x:c r="H84" s="15" t="str">
        <x:f>IF('입력데이터'!$B84="","",'입력데이터'!O84)</x:f>
      </x:c>
      <x:c r="I84" s="20" t="str">
        <x:f>IF($B84="", "", ROUND(MAX(30, MIN(99, IFERROR((AE84-MIN($AE$2:$AE$101))/(MAX($AE$2:$AE$101)-MIN($AE$2:$AE$101))*99,30))),0))</x:f>
      </x:c>
      <x:c r="J84" s="20" t="str">
        <x:f>IF($B84="", "", ROUND(MAX(30, MIN(99, IFERROR((AF84-MIN($AF$2:$AF$101))/(MAX($AF$2:$AF$101)-MIN($AF$2:$AF$101))*99,30))),0))</x:f>
      </x:c>
      <x:c r="K84" s="20" t="str">
        <x:f>IF($B84="", "", ROUND(MAX(30, MIN(99, IFERROR((AG84-MIN($AG$2:$AG$101))/(MAX($AG$2:$AG$101)-MIN($AG$2:$AG$101))*99,30))),0))</x:f>
      </x:c>
      <x:c r="L84" s="20" t="str">
        <x:f>IF($B84="", "", ROUND(MAX(30, MIN(99, IFERROR((AH84-MIN($AH$2:$AH$101))/(MAX($AH$2:$AH$101)-MIN($AH$2:$AH$101))*99,30))),0))</x:f>
      </x:c>
      <x:c r="M84" s="20" t="str">
        <x:f>IF($B84="", "", ROUND(MAX(30, MIN(99, IFERROR((AI84-MIN($AI$2:$AI$101))/(MAX($AI$2:$AI$101)-MIN($AI$2:$AI$101))*99,30))),0))</x:f>
      </x:c>
      <x:c r="N84" s="20" t="str">
        <x:f>IF($B84="", "", ROUND(MAX(30, MIN(99, IFERROR((AJ84-MIN($AJ$2:$AJ$101))/(MAX($AJ$2:$AJ$101)-MIN($AJ$2:$AJ$101))*99,30))),0))</x:f>
      </x:c>
      <x:c r="O84" s="20" t="str">
        <x:f>IF($B84="", "", ROUND(MAX(30, MIN(99, IFERROR((AK84-MIN($AK$2:$AK$101))/(MAX($AK$2:$AK$101)-MIN($AK$2:$AK$101))*99,30))),0))</x:f>
      </x:c>
      <x:c r="P84" s="20" t="str">
        <x:f>IF($B84="", "", ROUND(MAX(30, MIN(99, IFERROR((AL84-MIN($AL$2:$AL$101))/(MAX($AL$2:$AL$101)-MIN($AL$2:$AL$101))*99,30))),0))</x:f>
      </x:c>
      <x:c r="Q84" s="20" t="str">
        <x:f>IF($B84="", "", ROUND(MAX(30, MIN(99, IFERROR((AM84-MIN($AM$2:$AM$101))/(MAX($AM$2:$AM$101)-MIN($AM$2:$AM$101))*99,30))),0))</x:f>
      </x:c>
      <x:c r="R84" s="20" t="str">
        <x:f>IF($B84="", "", ROUND(MAX(30, MIN(99, IFERROR((AN84-MIN($AN$2:$AN$101))/(MAX($AN$2:$AN$101)-MIN($AN$2:$AN$101))*99,30))),0))</x:f>
      </x:c>
      <x:c r="S84" s="20" t="str">
        <x:f>IF($B84="", "", ROUND(MAX(30, MIN(99, IFERROR((AO84-MIN($AO$2:$AO$101))/(MAX($AO$2:$AO$101)-MIN($AO$2:$AO$101))*99,30))),0))</x:f>
      </x:c>
      <x:c r="T84" s="20" t="str">
        <x:f>IF($B84="", "", ROUND(MAX(30, MIN(99, IFERROR((AP84-MIN($AP$2:$AP$101))/(MAX($AP$2:$AP$101)-MIN($AP$2:$AP$101))*99,30))),0))</x:f>
      </x:c>
      <x:c r="U84" s="20" t="str">
        <x:f>IF($B84="", "", ROUND(MAX(30, MIN(99, IFERROR((AQ84-MIN($AQ$2:$AQ$101))/(MAX($AQ$2:$AQ$101)-MIN($AQ$2:$AQ$101))*99,30))),0))</x:f>
      </x:c>
      <x:c r="V84" s="20" t="str">
        <x:f>IF($B84="", "", ROUND(MAX(30, MIN(99, IFERROR((AR84-MIN($AR$2:$AR$101))/(MAX($AR$2:$AR$101)-MIN($AR$2:$AR$101))*99,30))),0))</x:f>
      </x:c>
      <x:c r="W84" s="20" t="str">
        <x:f>IF($B84="", "", ROUND(MAX(30, MIN(99, IFERROR((AS84-MIN($AS$2:$AS$101))/(MAX($AS$2:$AS$101)-MIN($AS$2:$AS$101))*99,30))),0))</x:f>
      </x:c>
      <x:c r="X84" s="20" t="str">
        <x:f>IF($B84="", "", ROUND(MAX(30, MIN(99, IFERROR((AT84-MIN($AT$2:$AT$101))/(MAX($AT$2:$AT$101)-MIN($AT$2:$AT$101))*99,30))),0))</x:f>
      </x:c>
      <x:c r="Y84" s="20" t="str">
        <x:f>IF($B84="","",ROUND(AVERAGE(I84:X84),0))</x:f>
      </x:c>
      <x:c r="Z84" s="20" t="str">
        <x:f>IF($B84="","",ROUND(MAX(30,MIN(99,IFS(ISNUMBER(SEARCH("PG",UPPER(SUBSTITUTE($C84,"/","-")))),84,ISNUMBER(SEARCH("SG",UPPER(SUBSTITUTE($C84,"/","-")))),76,ISNUMBER(SEARCH("SF",UPPER(SUBSTITUTE($C84,"/","-")))),68,ISNUMBER(SEARCH("PF",UPPER(SUBSTITUTE($C84,"/","-")))),55,ISNUMBER(SEARCH("C",UPPER(SUBSTITUTE($C84,"/","-")))),42,TRUE,65)+((195-IFERROR($D84,195))*0.15)+((95-IFERROR($E84,95))*0.08))),0))</x:f>
      </x:c>
      <x:c r="AA84" s="20" t="str">
        <x:f>IF($B84="","",ROUND(MAX(30,MIN(99,IFS(ISNUMBER(SEARCH("PG",UPPER(SUBSTITUTE($C84,"/","-")))),84,ISNUMBER(SEARCH("SG",UPPER(SUBSTITUTE($C84,"/","-")))),76,ISNUMBER(SEARCH("SF",UPPER(SUBSTITUTE($C84,"/","-")))),68,ISNUMBER(SEARCH("PF",UPPER(SUBSTITUTE($C84,"/","-")))),55,ISNUMBER(SEARCH("C",UPPER(SUBSTITUTE($C84,"/","-")))),42,TRUE,65)+((195-IFERROR($D84,195))*0.18)+((95-IFERROR($E84,95))*0.10))),0))</x:f>
      </x:c>
      <x:c r="AB84" s="20" t="str">
        <x:f>IF($B84="","",ROUND(MAX(30,MIN(99,IFS(ISNUMBER(SEARCH("PG",UPPER(SUBSTITUTE($C84,"/","-")))),84,ISNUMBER(SEARCH("SG",UPPER(SUBSTITUTE($C84,"/","-")))),76,ISNUMBER(SEARCH("SF",UPPER(SUBSTITUTE($C84,"/","-")))),68,ISNUMBER(SEARCH("PF",UPPER(SUBSTITUTE($C84,"/","-")))),55,ISNUMBER(SEARCH("C",UPPER(SUBSTITUTE($C84,"/","-")))),42,TRUE,65)+2+((195-IFERROR($D84,195))*0.14)+((95-IFERROR($E84,95))*0.09))),0))</x:f>
      </x:c>
      <x:c r="AC84" s="20" t="str">
        <x:f>IF($B84="","",ROUND(MAX(30,MIN(99,IFS(ISNUMBER(SEARCH("C",UPPER(SUBSTITUTE($C84,"/","-")))),92,ISNUMBER(SEARCH("PF",UPPER(SUBSTITUTE($C84,"/","-")))),82,ISNUMBER(SEARCH("SF",UPPER(SUBSTITUTE($C84,"/","-")))),64,ISNUMBER(SEARCH("SG",UPPER(SUBSTITUTE($C84,"/","-")))),48,ISNUMBER(SEARCH("PG",UPPER(SUBSTITUTE($C84,"/","-")))),36,TRUE,60)+((IFERROR($E84,95)-95)*0.45)+((IFERROR($D84,195)-195)*0.10)+((IFERROR($F84,200)-200)*0.08))),0))</x:f>
      </x:c>
      <x:c r="AD84" s="20" t="str">
        <x:f>IF($B84="","",ROUND(MAX(30,MIN(99,65+((IFERROR($F84,200)-200)*0.22)+((IFERROR($D84,195)-195)*0.08)-((IFERROR($E84,95)-95)*0.07))),0))</x:f>
      </x:c>
      <x:c r="AE84" s="15" t="n">
        <x:f>IFERROR(='입력데이터'!S84,0)*0.4+IFERROR(='입력데이터'!AP84,0)*0.4+IFERROR(='입력데이터'!AO84,0)*0.5</x:f>
        <x:v>0</x:v>
      </x:c>
      <x:c r="AF84" s="15" t="n">
        <x:f>IFERROR(='입력데이터'!S84,0)*0.5+IFERROR(='입력데이터'!P84,0)*0.8+IFERROR(='입력데이터'!AG84,0)</x:f>
        <x:v>0</x:v>
      </x:c>
      <x:c r="AG84" s="15" t="n">
        <x:f>IFERROR(='입력데이터'!AJ84,0)*8+IFERROR(IFERROR(='입력데이터'!AJ84,0)/IFERROR(='입력데이터'!AK84,0),0)*30</x:f>
        <x:v>0</x:v>
      </x:c>
      <x:c r="AH84" s="15" t="n">
        <x:f>IFERROR(='입력데이터'!AJ84,0)*6+IFERROR(='입력데이터'!AH84,0)*4</x:f>
        <x:v>0</x:v>
      </x:c>
      <x:c r="AI84" s="15" t="n">
        <x:f>IFERROR(='입력데이터'!AP84,0)*0.4+IFERROR(='입력데이터'!AE84,0)*1.5+IFERROR(='입력데이터'!Q84,0)*1.5</x:f>
        <x:v>0</x:v>
      </x:c>
      <x:c r="AJ84" s="15" t="n">
        <x:f>MAX(0,IFERROR(='입력데이터'!P84,0)-IFERROR(='입력데이터'!Q84,0)*2-IFERROR(='입력데이터'!T84,0)*3-IFERROR(='입력데이터'!Z84,0))*1.5+IFERROR(='입력데이터'!Y84,0)*0.3</x:f>
        <x:v>0</x:v>
      </x:c>
      <x:c r="AK84" s="15" t="n">
        <x:f>IFERROR(='입력데이터'!V84,0)*0.6+IFERROR(='입력데이터'!U84,0)*2+IFERROR(='입력데이터'!T84,0)*3</x:f>
        <x:v>0</x:v>
      </x:c>
      <x:c r="AL84" s="15" t="n">
        <x:f>IFERROR(='입력데이터'!AB84,0)*0.7+IFERROR(='입력데이터'!AA84,0)*1.5</x:f>
        <x:v>0</x:v>
      </x:c>
      <x:c r="AM84" s="15" t="n">
        <x:f>IFERROR(='입력데이터'!AF84,0)*5+IFERROR(IFERROR(='입력데이터'!AF84,0)/IFERROR(='입력데이터'!AL84,0),0)*3+IFERROR(='입력데이터'!AT84,0)</x:f>
        <x:v>0</x:v>
      </x:c>
      <x:c r="AN84" s="15" t="n">
        <x:f>IFERROR(='입력데이터'!AF84,0)*3+IFERROR(='입력데이터'!AG84,0)*3+IFERROR(IFERROR(='입력데이터'!AF84,0)/IFERROR(='입력데이터'!AL84,0),0)*4</x:f>
        <x:v>0</x:v>
      </x:c>
      <x:c r="AO84" s="15" t="n">
        <x:f>IFERROR(='입력데이터'!AG84,0)*12+IFERROR(='입력데이터'!AU84,0)*6</x:f>
        <x:v>0</x:v>
      </x:c>
      <x:c r="AP84" s="15" t="n">
        <x:f>IFERROR(='입력데이터'!AH84,0)*14+IFERROR(='입력데이터'!AD84,0)</x:f>
        <x:v>0</x:v>
      </x:c>
      <x:c r="AQ84" s="15" t="n">
        <x:f>IFERROR(='입력데이터'!AC84,0)*10</x:f>
        <x:v>0</x:v>
      </x:c>
      <x:c r="AR84" s="15" t="n">
        <x:f>IFERROR(='입력데이터'!AD84,0)*7+IFERROR(='입력데이터'!AH84,0)*2</x:f>
        <x:v>0</x:v>
      </x:c>
      <x:c r="AS84" s="15" t="n">
        <x:f>IFERROR(='입력데이터'!AH84,0)*8+IFERROR(='입력데이터'!AD84,0)*2+IFERROR(='입력데이터'!AI84,0)*4</x:f>
        <x:v>0</x:v>
      </x:c>
      <x:c r="AT84" s="16" t="n">
        <x:f>IFERROR(='입력데이터'!AG84,0)*8+IFERROR(='입력데이터'!AI84,0)*5+IFERROR(='입력데이터'!AU84,0)*4</x:f>
        <x:v>0</x:v>
      </x:c>
    </x:row>
    <x:row r="85">
      <x:c r="A85" s="14" t="str">
        <x:f>IF('입력데이터'!$B85="","",'입력데이터'!A85)</x:f>
      </x:c>
      <x:c r="B85" s="15" t="str">
        <x:f>IF('입력데이터'!$B85="","",'입력데이터'!B85)</x:f>
      </x:c>
      <x:c r="C85" s="15" t="str">
        <x:f>IF('입력데이터'!$B85="","",'입력데이터'!K85)</x:f>
      </x:c>
      <x:c r="D85" s="15" t="str">
        <x:f>IF('입력데이터'!$B85="","",'입력데이터'!H85)</x:f>
      </x:c>
      <x:c r="E85" s="15" t="str">
        <x:f>IF('입력데이터'!$B85="","",'입력데이터'!I85)</x:f>
      </x:c>
      <x:c r="F85" s="15" t="str">
        <x:f>IF('입력데이터'!$B85="","",'입력데이터'!J85)</x:f>
      </x:c>
      <x:c r="G85" s="15" t="str">
        <x:f>IF('입력데이터'!$B85="","",'입력데이터'!L85)</x:f>
      </x:c>
      <x:c r="H85" s="15" t="str">
        <x:f>IF('입력데이터'!$B85="","",'입력데이터'!O85)</x:f>
      </x:c>
      <x:c r="I85" s="20" t="str">
        <x:f>IF($B85="", "", ROUND(MAX(30, MIN(99, IFERROR((AE85-MIN($AE$2:$AE$101))/(MAX($AE$2:$AE$101)-MIN($AE$2:$AE$101))*99,30))),0))</x:f>
      </x:c>
      <x:c r="J85" s="20" t="str">
        <x:f>IF($B85="", "", ROUND(MAX(30, MIN(99, IFERROR((AF85-MIN($AF$2:$AF$101))/(MAX($AF$2:$AF$101)-MIN($AF$2:$AF$101))*99,30))),0))</x:f>
      </x:c>
      <x:c r="K85" s="20" t="str">
        <x:f>IF($B85="", "", ROUND(MAX(30, MIN(99, IFERROR((AG85-MIN($AG$2:$AG$101))/(MAX($AG$2:$AG$101)-MIN($AG$2:$AG$101))*99,30))),0))</x:f>
      </x:c>
      <x:c r="L85" s="20" t="str">
        <x:f>IF($B85="", "", ROUND(MAX(30, MIN(99, IFERROR((AH85-MIN($AH$2:$AH$101))/(MAX($AH$2:$AH$101)-MIN($AH$2:$AH$101))*99,30))),0))</x:f>
      </x:c>
      <x:c r="M85" s="20" t="str">
        <x:f>IF($B85="", "", ROUND(MAX(30, MIN(99, IFERROR((AI85-MIN($AI$2:$AI$101))/(MAX($AI$2:$AI$101)-MIN($AI$2:$AI$101))*99,30))),0))</x:f>
      </x:c>
      <x:c r="N85" s="20" t="str">
        <x:f>IF($B85="", "", ROUND(MAX(30, MIN(99, IFERROR((AJ85-MIN($AJ$2:$AJ$101))/(MAX($AJ$2:$AJ$101)-MIN($AJ$2:$AJ$101))*99,30))),0))</x:f>
      </x:c>
      <x:c r="O85" s="20" t="str">
        <x:f>IF($B85="", "", ROUND(MAX(30, MIN(99, IFERROR((AK85-MIN($AK$2:$AK$101))/(MAX($AK$2:$AK$101)-MIN($AK$2:$AK$101))*99,30))),0))</x:f>
      </x:c>
      <x:c r="P85" s="20" t="str">
        <x:f>IF($B85="", "", ROUND(MAX(30, MIN(99, IFERROR((AL85-MIN($AL$2:$AL$101))/(MAX($AL$2:$AL$101)-MIN($AL$2:$AL$101))*99,30))),0))</x:f>
      </x:c>
      <x:c r="Q85" s="20" t="str">
        <x:f>IF($B85="", "", ROUND(MAX(30, MIN(99, IFERROR((AM85-MIN($AM$2:$AM$101))/(MAX($AM$2:$AM$101)-MIN($AM$2:$AM$101))*99,30))),0))</x:f>
      </x:c>
      <x:c r="R85" s="20" t="str">
        <x:f>IF($B85="", "", ROUND(MAX(30, MIN(99, IFERROR((AN85-MIN($AN$2:$AN$101))/(MAX($AN$2:$AN$101)-MIN($AN$2:$AN$101))*99,30))),0))</x:f>
      </x:c>
      <x:c r="S85" s="20" t="str">
        <x:f>IF($B85="", "", ROUND(MAX(30, MIN(99, IFERROR((AO85-MIN($AO$2:$AO$101))/(MAX($AO$2:$AO$101)-MIN($AO$2:$AO$101))*99,30))),0))</x:f>
      </x:c>
      <x:c r="T85" s="20" t="str">
        <x:f>IF($B85="", "", ROUND(MAX(30, MIN(99, IFERROR((AP85-MIN($AP$2:$AP$101))/(MAX($AP$2:$AP$101)-MIN($AP$2:$AP$101))*99,30))),0))</x:f>
      </x:c>
      <x:c r="U85" s="20" t="str">
        <x:f>IF($B85="", "", ROUND(MAX(30, MIN(99, IFERROR((AQ85-MIN($AQ$2:$AQ$101))/(MAX($AQ$2:$AQ$101)-MIN($AQ$2:$AQ$101))*99,30))),0))</x:f>
      </x:c>
      <x:c r="V85" s="20" t="str">
        <x:f>IF($B85="", "", ROUND(MAX(30, MIN(99, IFERROR((AR85-MIN($AR$2:$AR$101))/(MAX($AR$2:$AR$101)-MIN($AR$2:$AR$101))*99,30))),0))</x:f>
      </x:c>
      <x:c r="W85" s="20" t="str">
        <x:f>IF($B85="", "", ROUND(MAX(30, MIN(99, IFERROR((AS85-MIN($AS$2:$AS$101))/(MAX($AS$2:$AS$101)-MIN($AS$2:$AS$101))*99,30))),0))</x:f>
      </x:c>
      <x:c r="X85" s="20" t="str">
        <x:f>IF($B85="", "", ROUND(MAX(30, MIN(99, IFERROR((AT85-MIN($AT$2:$AT$101))/(MAX($AT$2:$AT$101)-MIN($AT$2:$AT$101))*99,30))),0))</x:f>
      </x:c>
      <x:c r="Y85" s="20" t="str">
        <x:f>IF($B85="","",ROUND(AVERAGE(I85:X85),0))</x:f>
      </x:c>
      <x:c r="Z85" s="20" t="str">
        <x:f>IF($B85="","",ROUND(MAX(30,MIN(99,IFS(ISNUMBER(SEARCH("PG",UPPER(SUBSTITUTE($C85,"/","-")))),84,ISNUMBER(SEARCH("SG",UPPER(SUBSTITUTE($C85,"/","-")))),76,ISNUMBER(SEARCH("SF",UPPER(SUBSTITUTE($C85,"/","-")))),68,ISNUMBER(SEARCH("PF",UPPER(SUBSTITUTE($C85,"/","-")))),55,ISNUMBER(SEARCH("C",UPPER(SUBSTITUTE($C85,"/","-")))),42,TRUE,65)+((195-IFERROR($D85,195))*0.15)+((95-IFERROR($E85,95))*0.08))),0))</x:f>
      </x:c>
      <x:c r="AA85" s="20" t="str">
        <x:f>IF($B85="","",ROUND(MAX(30,MIN(99,IFS(ISNUMBER(SEARCH("PG",UPPER(SUBSTITUTE($C85,"/","-")))),84,ISNUMBER(SEARCH("SG",UPPER(SUBSTITUTE($C85,"/","-")))),76,ISNUMBER(SEARCH("SF",UPPER(SUBSTITUTE($C85,"/","-")))),68,ISNUMBER(SEARCH("PF",UPPER(SUBSTITUTE($C85,"/","-")))),55,ISNUMBER(SEARCH("C",UPPER(SUBSTITUTE($C85,"/","-")))),42,TRUE,65)+((195-IFERROR($D85,195))*0.18)+((95-IFERROR($E85,95))*0.10))),0))</x:f>
      </x:c>
      <x:c r="AB85" s="20" t="str">
        <x:f>IF($B85="","",ROUND(MAX(30,MIN(99,IFS(ISNUMBER(SEARCH("PG",UPPER(SUBSTITUTE($C85,"/","-")))),84,ISNUMBER(SEARCH("SG",UPPER(SUBSTITUTE($C85,"/","-")))),76,ISNUMBER(SEARCH("SF",UPPER(SUBSTITUTE($C85,"/","-")))),68,ISNUMBER(SEARCH("PF",UPPER(SUBSTITUTE($C85,"/","-")))),55,ISNUMBER(SEARCH("C",UPPER(SUBSTITUTE($C85,"/","-")))),42,TRUE,65)+2+((195-IFERROR($D85,195))*0.14)+((95-IFERROR($E85,95))*0.09))),0))</x:f>
      </x:c>
      <x:c r="AC85" s="20" t="str">
        <x:f>IF($B85="","",ROUND(MAX(30,MIN(99,IFS(ISNUMBER(SEARCH("C",UPPER(SUBSTITUTE($C85,"/","-")))),92,ISNUMBER(SEARCH("PF",UPPER(SUBSTITUTE($C85,"/","-")))),82,ISNUMBER(SEARCH("SF",UPPER(SUBSTITUTE($C85,"/","-")))),64,ISNUMBER(SEARCH("SG",UPPER(SUBSTITUTE($C85,"/","-")))),48,ISNUMBER(SEARCH("PG",UPPER(SUBSTITUTE($C85,"/","-")))),36,TRUE,60)+((IFERROR($E85,95)-95)*0.45)+((IFERROR($D85,195)-195)*0.10)+((IFERROR($F85,200)-200)*0.08))),0))</x:f>
      </x:c>
      <x:c r="AD85" s="20" t="str">
        <x:f>IF($B85="","",ROUND(MAX(30,MIN(99,65+((IFERROR($F85,200)-200)*0.22)+((IFERROR($D85,195)-195)*0.08)-((IFERROR($E85,95)-95)*0.07))),0))</x:f>
      </x:c>
      <x:c r="AE85" s="15" t="n">
        <x:f>IFERROR(='입력데이터'!S85,0)*0.4+IFERROR(='입력데이터'!AP85,0)*0.4+IFERROR(='입력데이터'!AO85,0)*0.5</x:f>
        <x:v>0</x:v>
      </x:c>
      <x:c r="AF85" s="15" t="n">
        <x:f>IFERROR(='입력데이터'!S85,0)*0.5+IFERROR(='입력데이터'!P85,0)*0.8+IFERROR(='입력데이터'!AG85,0)</x:f>
        <x:v>0</x:v>
      </x:c>
      <x:c r="AG85" s="15" t="n">
        <x:f>IFERROR(='입력데이터'!AJ85,0)*8+IFERROR(IFERROR(='입력데이터'!AJ85,0)/IFERROR(='입력데이터'!AK85,0),0)*30</x:f>
        <x:v>0</x:v>
      </x:c>
      <x:c r="AH85" s="15" t="n">
        <x:f>IFERROR(='입력데이터'!AJ85,0)*6+IFERROR(='입력데이터'!AH85,0)*4</x:f>
        <x:v>0</x:v>
      </x:c>
      <x:c r="AI85" s="15" t="n">
        <x:f>IFERROR(='입력데이터'!AP85,0)*0.4+IFERROR(='입력데이터'!AE85,0)*1.5+IFERROR(='입력데이터'!Q85,0)*1.5</x:f>
        <x:v>0</x:v>
      </x:c>
      <x:c r="AJ85" s="15" t="n">
        <x:f>MAX(0,IFERROR(='입력데이터'!P85,0)-IFERROR(='입력데이터'!Q85,0)*2-IFERROR(='입력데이터'!T85,0)*3-IFERROR(='입력데이터'!Z85,0))*1.5+IFERROR(='입력데이터'!Y85,0)*0.3</x:f>
        <x:v>0</x:v>
      </x:c>
      <x:c r="AK85" s="15" t="n">
        <x:f>IFERROR(='입력데이터'!V85,0)*0.6+IFERROR(='입력데이터'!U85,0)*2+IFERROR(='입력데이터'!T85,0)*3</x:f>
        <x:v>0</x:v>
      </x:c>
      <x:c r="AL85" s="15" t="n">
        <x:f>IFERROR(='입력데이터'!AB85,0)*0.7+IFERROR(='입력데이터'!AA85,0)*1.5</x:f>
        <x:v>0</x:v>
      </x:c>
      <x:c r="AM85" s="15" t="n">
        <x:f>IFERROR(='입력데이터'!AF85,0)*5+IFERROR(IFERROR(='입력데이터'!AF85,0)/IFERROR(='입력데이터'!AL85,0),0)*3+IFERROR(='입력데이터'!AT85,0)</x:f>
        <x:v>0</x:v>
      </x:c>
      <x:c r="AN85" s="15" t="n">
        <x:f>IFERROR(='입력데이터'!AF85,0)*3+IFERROR(='입력데이터'!AG85,0)*3+IFERROR(IFERROR(='입력데이터'!AF85,0)/IFERROR(='입력데이터'!AL85,0),0)*4</x:f>
        <x:v>0</x:v>
      </x:c>
      <x:c r="AO85" s="15" t="n">
        <x:f>IFERROR(='입력데이터'!AG85,0)*12+IFERROR(='입력데이터'!AU85,0)*6</x:f>
        <x:v>0</x:v>
      </x:c>
      <x:c r="AP85" s="15" t="n">
        <x:f>IFERROR(='입력데이터'!AH85,0)*14+IFERROR(='입력데이터'!AD85,0)</x:f>
        <x:v>0</x:v>
      </x:c>
      <x:c r="AQ85" s="15" t="n">
        <x:f>IFERROR(='입력데이터'!AC85,0)*10</x:f>
        <x:v>0</x:v>
      </x:c>
      <x:c r="AR85" s="15" t="n">
        <x:f>IFERROR(='입력데이터'!AD85,0)*7+IFERROR(='입력데이터'!AH85,0)*2</x:f>
        <x:v>0</x:v>
      </x:c>
      <x:c r="AS85" s="15" t="n">
        <x:f>IFERROR(='입력데이터'!AH85,0)*8+IFERROR(='입력데이터'!AD85,0)*2+IFERROR(='입력데이터'!AI85,0)*4</x:f>
        <x:v>0</x:v>
      </x:c>
      <x:c r="AT85" s="16" t="n">
        <x:f>IFERROR(='입력데이터'!AG85,0)*8+IFERROR(='입력데이터'!AI85,0)*5+IFERROR(='입력데이터'!AU85,0)*4</x:f>
        <x:v>0</x:v>
      </x:c>
    </x:row>
    <x:row r="86">
      <x:c r="A86" s="14" t="str">
        <x:f>IF('입력데이터'!$B86="","",'입력데이터'!A86)</x:f>
      </x:c>
      <x:c r="B86" s="15" t="str">
        <x:f>IF('입력데이터'!$B86="","",'입력데이터'!B86)</x:f>
      </x:c>
      <x:c r="C86" s="15" t="str">
        <x:f>IF('입력데이터'!$B86="","",'입력데이터'!K86)</x:f>
      </x:c>
      <x:c r="D86" s="15" t="str">
        <x:f>IF('입력데이터'!$B86="","",'입력데이터'!H86)</x:f>
      </x:c>
      <x:c r="E86" s="15" t="str">
        <x:f>IF('입력데이터'!$B86="","",'입력데이터'!I86)</x:f>
      </x:c>
      <x:c r="F86" s="15" t="str">
        <x:f>IF('입력데이터'!$B86="","",'입력데이터'!J86)</x:f>
      </x:c>
      <x:c r="G86" s="15" t="str">
        <x:f>IF('입력데이터'!$B86="","",'입력데이터'!L86)</x:f>
      </x:c>
      <x:c r="H86" s="15" t="str">
        <x:f>IF('입력데이터'!$B86="","",'입력데이터'!O86)</x:f>
      </x:c>
      <x:c r="I86" s="20" t="str">
        <x:f>IF($B86="", "", ROUND(MAX(30, MIN(99, IFERROR((AE86-MIN($AE$2:$AE$101))/(MAX($AE$2:$AE$101)-MIN($AE$2:$AE$101))*99,30))),0))</x:f>
      </x:c>
      <x:c r="J86" s="20" t="str">
        <x:f>IF($B86="", "", ROUND(MAX(30, MIN(99, IFERROR((AF86-MIN($AF$2:$AF$101))/(MAX($AF$2:$AF$101)-MIN($AF$2:$AF$101))*99,30))),0))</x:f>
      </x:c>
      <x:c r="K86" s="20" t="str">
        <x:f>IF($B86="", "", ROUND(MAX(30, MIN(99, IFERROR((AG86-MIN($AG$2:$AG$101))/(MAX($AG$2:$AG$101)-MIN($AG$2:$AG$101))*99,30))),0))</x:f>
      </x:c>
      <x:c r="L86" s="20" t="str">
        <x:f>IF($B86="", "", ROUND(MAX(30, MIN(99, IFERROR((AH86-MIN($AH$2:$AH$101))/(MAX($AH$2:$AH$101)-MIN($AH$2:$AH$101))*99,30))),0))</x:f>
      </x:c>
      <x:c r="M86" s="20" t="str">
        <x:f>IF($B86="", "", ROUND(MAX(30, MIN(99, IFERROR((AI86-MIN($AI$2:$AI$101))/(MAX($AI$2:$AI$101)-MIN($AI$2:$AI$101))*99,30))),0))</x:f>
      </x:c>
      <x:c r="N86" s="20" t="str">
        <x:f>IF($B86="", "", ROUND(MAX(30, MIN(99, IFERROR((AJ86-MIN($AJ$2:$AJ$101))/(MAX($AJ$2:$AJ$101)-MIN($AJ$2:$AJ$101))*99,30))),0))</x:f>
      </x:c>
      <x:c r="O86" s="20" t="str">
        <x:f>IF($B86="", "", ROUND(MAX(30, MIN(99, IFERROR((AK86-MIN($AK$2:$AK$101))/(MAX($AK$2:$AK$101)-MIN($AK$2:$AK$101))*99,30))),0))</x:f>
      </x:c>
      <x:c r="P86" s="20" t="str">
        <x:f>IF($B86="", "", ROUND(MAX(30, MIN(99, IFERROR((AL86-MIN($AL$2:$AL$101))/(MAX($AL$2:$AL$101)-MIN($AL$2:$AL$101))*99,30))),0))</x:f>
      </x:c>
      <x:c r="Q86" s="20" t="str">
        <x:f>IF($B86="", "", ROUND(MAX(30, MIN(99, IFERROR((AM86-MIN($AM$2:$AM$101))/(MAX($AM$2:$AM$101)-MIN($AM$2:$AM$101))*99,30))),0))</x:f>
      </x:c>
      <x:c r="R86" s="20" t="str">
        <x:f>IF($B86="", "", ROUND(MAX(30, MIN(99, IFERROR((AN86-MIN($AN$2:$AN$101))/(MAX($AN$2:$AN$101)-MIN($AN$2:$AN$101))*99,30))),0))</x:f>
      </x:c>
      <x:c r="S86" s="20" t="str">
        <x:f>IF($B86="", "", ROUND(MAX(30, MIN(99, IFERROR((AO86-MIN($AO$2:$AO$101))/(MAX($AO$2:$AO$101)-MIN($AO$2:$AO$101))*99,30))),0))</x:f>
      </x:c>
      <x:c r="T86" s="20" t="str">
        <x:f>IF($B86="", "", ROUND(MAX(30, MIN(99, IFERROR((AP86-MIN($AP$2:$AP$101))/(MAX($AP$2:$AP$101)-MIN($AP$2:$AP$101))*99,30))),0))</x:f>
      </x:c>
      <x:c r="U86" s="20" t="str">
        <x:f>IF($B86="", "", ROUND(MAX(30, MIN(99, IFERROR((AQ86-MIN($AQ$2:$AQ$101))/(MAX($AQ$2:$AQ$101)-MIN($AQ$2:$AQ$101))*99,30))),0))</x:f>
      </x:c>
      <x:c r="V86" s="20" t="str">
        <x:f>IF($B86="", "", ROUND(MAX(30, MIN(99, IFERROR((AR86-MIN($AR$2:$AR$101))/(MAX($AR$2:$AR$101)-MIN($AR$2:$AR$101))*99,30))),0))</x:f>
      </x:c>
      <x:c r="W86" s="20" t="str">
        <x:f>IF($B86="", "", ROUND(MAX(30, MIN(99, IFERROR((AS86-MIN($AS$2:$AS$101))/(MAX($AS$2:$AS$101)-MIN($AS$2:$AS$101))*99,30))),0))</x:f>
      </x:c>
      <x:c r="X86" s="20" t="str">
        <x:f>IF($B86="", "", ROUND(MAX(30, MIN(99, IFERROR((AT86-MIN($AT$2:$AT$101))/(MAX($AT$2:$AT$101)-MIN($AT$2:$AT$101))*99,30))),0))</x:f>
      </x:c>
      <x:c r="Y86" s="20" t="str">
        <x:f>IF($B86="","",ROUND(AVERAGE(I86:X86),0))</x:f>
      </x:c>
      <x:c r="Z86" s="20" t="str">
        <x:f>IF($B86="","",ROUND(MAX(30,MIN(99,IFS(ISNUMBER(SEARCH("PG",UPPER(SUBSTITUTE($C86,"/","-")))),84,ISNUMBER(SEARCH("SG",UPPER(SUBSTITUTE($C86,"/","-")))),76,ISNUMBER(SEARCH("SF",UPPER(SUBSTITUTE($C86,"/","-")))),68,ISNUMBER(SEARCH("PF",UPPER(SUBSTITUTE($C86,"/","-")))),55,ISNUMBER(SEARCH("C",UPPER(SUBSTITUTE($C86,"/","-")))),42,TRUE,65)+((195-IFERROR($D86,195))*0.15)+((95-IFERROR($E86,95))*0.08))),0))</x:f>
      </x:c>
      <x:c r="AA86" s="20" t="str">
        <x:f>IF($B86="","",ROUND(MAX(30,MIN(99,IFS(ISNUMBER(SEARCH("PG",UPPER(SUBSTITUTE($C86,"/","-")))),84,ISNUMBER(SEARCH("SG",UPPER(SUBSTITUTE($C86,"/","-")))),76,ISNUMBER(SEARCH("SF",UPPER(SUBSTITUTE($C86,"/","-")))),68,ISNUMBER(SEARCH("PF",UPPER(SUBSTITUTE($C86,"/","-")))),55,ISNUMBER(SEARCH("C",UPPER(SUBSTITUTE($C86,"/","-")))),42,TRUE,65)+((195-IFERROR($D86,195))*0.18)+((95-IFERROR($E86,95))*0.10))),0))</x:f>
      </x:c>
      <x:c r="AB86" s="20" t="str">
        <x:f>IF($B86="","",ROUND(MAX(30,MIN(99,IFS(ISNUMBER(SEARCH("PG",UPPER(SUBSTITUTE($C86,"/","-")))),84,ISNUMBER(SEARCH("SG",UPPER(SUBSTITUTE($C86,"/","-")))),76,ISNUMBER(SEARCH("SF",UPPER(SUBSTITUTE($C86,"/","-")))),68,ISNUMBER(SEARCH("PF",UPPER(SUBSTITUTE($C86,"/","-")))),55,ISNUMBER(SEARCH("C",UPPER(SUBSTITUTE($C86,"/","-")))),42,TRUE,65)+2+((195-IFERROR($D86,195))*0.14)+((95-IFERROR($E86,95))*0.09))),0))</x:f>
      </x:c>
      <x:c r="AC86" s="20" t="str">
        <x:f>IF($B86="","",ROUND(MAX(30,MIN(99,IFS(ISNUMBER(SEARCH("C",UPPER(SUBSTITUTE($C86,"/","-")))),92,ISNUMBER(SEARCH("PF",UPPER(SUBSTITUTE($C86,"/","-")))),82,ISNUMBER(SEARCH("SF",UPPER(SUBSTITUTE($C86,"/","-")))),64,ISNUMBER(SEARCH("SG",UPPER(SUBSTITUTE($C86,"/","-")))),48,ISNUMBER(SEARCH("PG",UPPER(SUBSTITUTE($C86,"/","-")))),36,TRUE,60)+((IFERROR($E86,95)-95)*0.45)+((IFERROR($D86,195)-195)*0.10)+((IFERROR($F86,200)-200)*0.08))),0))</x:f>
      </x:c>
      <x:c r="AD86" s="20" t="str">
        <x:f>IF($B86="","",ROUND(MAX(30,MIN(99,65+((IFERROR($F86,200)-200)*0.22)+((IFERROR($D86,195)-195)*0.08)-((IFERROR($E86,95)-95)*0.07))),0))</x:f>
      </x:c>
      <x:c r="AE86" s="15" t="n">
        <x:f>IFERROR(='입력데이터'!S86,0)*0.4+IFERROR(='입력데이터'!AP86,0)*0.4+IFERROR(='입력데이터'!AO86,0)*0.5</x:f>
        <x:v>0</x:v>
      </x:c>
      <x:c r="AF86" s="15" t="n">
        <x:f>IFERROR(='입력데이터'!S86,0)*0.5+IFERROR(='입력데이터'!P86,0)*0.8+IFERROR(='입력데이터'!AG86,0)</x:f>
        <x:v>0</x:v>
      </x:c>
      <x:c r="AG86" s="15" t="n">
        <x:f>IFERROR(='입력데이터'!AJ86,0)*8+IFERROR(IFERROR(='입력데이터'!AJ86,0)/IFERROR(='입력데이터'!AK86,0),0)*30</x:f>
        <x:v>0</x:v>
      </x:c>
      <x:c r="AH86" s="15" t="n">
        <x:f>IFERROR(='입력데이터'!AJ86,0)*6+IFERROR(='입력데이터'!AH86,0)*4</x:f>
        <x:v>0</x:v>
      </x:c>
      <x:c r="AI86" s="15" t="n">
        <x:f>IFERROR(='입력데이터'!AP86,0)*0.4+IFERROR(='입력데이터'!AE86,0)*1.5+IFERROR(='입력데이터'!Q86,0)*1.5</x:f>
        <x:v>0</x:v>
      </x:c>
      <x:c r="AJ86" s="15" t="n">
        <x:f>MAX(0,IFERROR(='입력데이터'!P86,0)-IFERROR(='입력데이터'!Q86,0)*2-IFERROR(='입력데이터'!T86,0)*3-IFERROR(='입력데이터'!Z86,0))*1.5+IFERROR(='입력데이터'!Y86,0)*0.3</x:f>
        <x:v>0</x:v>
      </x:c>
      <x:c r="AK86" s="15" t="n">
        <x:f>IFERROR(='입력데이터'!V86,0)*0.6+IFERROR(='입력데이터'!U86,0)*2+IFERROR(='입력데이터'!T86,0)*3</x:f>
        <x:v>0</x:v>
      </x:c>
      <x:c r="AL86" s="15" t="n">
        <x:f>IFERROR(='입력데이터'!AB86,0)*0.7+IFERROR(='입력데이터'!AA86,0)*1.5</x:f>
        <x:v>0</x:v>
      </x:c>
      <x:c r="AM86" s="15" t="n">
        <x:f>IFERROR(='입력데이터'!AF86,0)*5+IFERROR(IFERROR(='입력데이터'!AF86,0)/IFERROR(='입력데이터'!AL86,0),0)*3+IFERROR(='입력데이터'!AT86,0)</x:f>
        <x:v>0</x:v>
      </x:c>
      <x:c r="AN86" s="15" t="n">
        <x:f>IFERROR(='입력데이터'!AF86,0)*3+IFERROR(='입력데이터'!AG86,0)*3+IFERROR(IFERROR(='입력데이터'!AF86,0)/IFERROR(='입력데이터'!AL86,0),0)*4</x:f>
        <x:v>0</x:v>
      </x:c>
      <x:c r="AO86" s="15" t="n">
        <x:f>IFERROR(='입력데이터'!AG86,0)*12+IFERROR(='입력데이터'!AU86,0)*6</x:f>
        <x:v>0</x:v>
      </x:c>
      <x:c r="AP86" s="15" t="n">
        <x:f>IFERROR(='입력데이터'!AH86,0)*14+IFERROR(='입력데이터'!AD86,0)</x:f>
        <x:v>0</x:v>
      </x:c>
      <x:c r="AQ86" s="15" t="n">
        <x:f>IFERROR(='입력데이터'!AC86,0)*10</x:f>
        <x:v>0</x:v>
      </x:c>
      <x:c r="AR86" s="15" t="n">
        <x:f>IFERROR(='입력데이터'!AD86,0)*7+IFERROR(='입력데이터'!AH86,0)*2</x:f>
        <x:v>0</x:v>
      </x:c>
      <x:c r="AS86" s="15" t="n">
        <x:f>IFERROR(='입력데이터'!AH86,0)*8+IFERROR(='입력데이터'!AD86,0)*2+IFERROR(='입력데이터'!AI86,0)*4</x:f>
        <x:v>0</x:v>
      </x:c>
      <x:c r="AT86" s="16" t="n">
        <x:f>IFERROR(='입력데이터'!AG86,0)*8+IFERROR(='입력데이터'!AI86,0)*5+IFERROR(='입력데이터'!AU86,0)*4</x:f>
        <x:v>0</x:v>
      </x:c>
    </x:row>
    <x:row r="87">
      <x:c r="A87" s="14" t="str">
        <x:f>IF('입력데이터'!$B87="","",'입력데이터'!A87)</x:f>
      </x:c>
      <x:c r="B87" s="15" t="str">
        <x:f>IF('입력데이터'!$B87="","",'입력데이터'!B87)</x:f>
      </x:c>
      <x:c r="C87" s="15" t="str">
        <x:f>IF('입력데이터'!$B87="","",'입력데이터'!K87)</x:f>
      </x:c>
      <x:c r="D87" s="15" t="str">
        <x:f>IF('입력데이터'!$B87="","",'입력데이터'!H87)</x:f>
      </x:c>
      <x:c r="E87" s="15" t="str">
        <x:f>IF('입력데이터'!$B87="","",'입력데이터'!I87)</x:f>
      </x:c>
      <x:c r="F87" s="15" t="str">
        <x:f>IF('입력데이터'!$B87="","",'입력데이터'!J87)</x:f>
      </x:c>
      <x:c r="G87" s="15" t="str">
        <x:f>IF('입력데이터'!$B87="","",'입력데이터'!L87)</x:f>
      </x:c>
      <x:c r="H87" s="15" t="str">
        <x:f>IF('입력데이터'!$B87="","",'입력데이터'!O87)</x:f>
      </x:c>
      <x:c r="I87" s="20" t="str">
        <x:f>IF($B87="", "", ROUND(MAX(30, MIN(99, IFERROR((AE87-MIN($AE$2:$AE$101))/(MAX($AE$2:$AE$101)-MIN($AE$2:$AE$101))*99,30))),0))</x:f>
      </x:c>
      <x:c r="J87" s="20" t="str">
        <x:f>IF($B87="", "", ROUND(MAX(30, MIN(99, IFERROR((AF87-MIN($AF$2:$AF$101))/(MAX($AF$2:$AF$101)-MIN($AF$2:$AF$101))*99,30))),0))</x:f>
      </x:c>
      <x:c r="K87" s="20" t="str">
        <x:f>IF($B87="", "", ROUND(MAX(30, MIN(99, IFERROR((AG87-MIN($AG$2:$AG$101))/(MAX($AG$2:$AG$101)-MIN($AG$2:$AG$101))*99,30))),0))</x:f>
      </x:c>
      <x:c r="L87" s="20" t="str">
        <x:f>IF($B87="", "", ROUND(MAX(30, MIN(99, IFERROR((AH87-MIN($AH$2:$AH$101))/(MAX($AH$2:$AH$101)-MIN($AH$2:$AH$101))*99,30))),0))</x:f>
      </x:c>
      <x:c r="M87" s="20" t="str">
        <x:f>IF($B87="", "", ROUND(MAX(30, MIN(99, IFERROR((AI87-MIN($AI$2:$AI$101))/(MAX($AI$2:$AI$101)-MIN($AI$2:$AI$101))*99,30))),0))</x:f>
      </x:c>
      <x:c r="N87" s="20" t="str">
        <x:f>IF($B87="", "", ROUND(MAX(30, MIN(99, IFERROR((AJ87-MIN($AJ$2:$AJ$101))/(MAX($AJ$2:$AJ$101)-MIN($AJ$2:$AJ$101))*99,30))),0))</x:f>
      </x:c>
      <x:c r="O87" s="20" t="str">
        <x:f>IF($B87="", "", ROUND(MAX(30, MIN(99, IFERROR((AK87-MIN($AK$2:$AK$101))/(MAX($AK$2:$AK$101)-MIN($AK$2:$AK$101))*99,30))),0))</x:f>
      </x:c>
      <x:c r="P87" s="20" t="str">
        <x:f>IF($B87="", "", ROUND(MAX(30, MIN(99, IFERROR((AL87-MIN($AL$2:$AL$101))/(MAX($AL$2:$AL$101)-MIN($AL$2:$AL$101))*99,30))),0))</x:f>
      </x:c>
      <x:c r="Q87" s="20" t="str">
        <x:f>IF($B87="", "", ROUND(MAX(30, MIN(99, IFERROR((AM87-MIN($AM$2:$AM$101))/(MAX($AM$2:$AM$101)-MIN($AM$2:$AM$101))*99,30))),0))</x:f>
      </x:c>
      <x:c r="R87" s="20" t="str">
        <x:f>IF($B87="", "", ROUND(MAX(30, MIN(99, IFERROR((AN87-MIN($AN$2:$AN$101))/(MAX($AN$2:$AN$101)-MIN($AN$2:$AN$101))*99,30))),0))</x:f>
      </x:c>
      <x:c r="S87" s="20" t="str">
        <x:f>IF($B87="", "", ROUND(MAX(30, MIN(99, IFERROR((AO87-MIN($AO$2:$AO$101))/(MAX($AO$2:$AO$101)-MIN($AO$2:$AO$101))*99,30))),0))</x:f>
      </x:c>
      <x:c r="T87" s="20" t="str">
        <x:f>IF($B87="", "", ROUND(MAX(30, MIN(99, IFERROR((AP87-MIN($AP$2:$AP$101))/(MAX($AP$2:$AP$101)-MIN($AP$2:$AP$101))*99,30))),0))</x:f>
      </x:c>
      <x:c r="U87" s="20" t="str">
        <x:f>IF($B87="", "", ROUND(MAX(30, MIN(99, IFERROR((AQ87-MIN($AQ$2:$AQ$101))/(MAX($AQ$2:$AQ$101)-MIN($AQ$2:$AQ$101))*99,30))),0))</x:f>
      </x:c>
      <x:c r="V87" s="20" t="str">
        <x:f>IF($B87="", "", ROUND(MAX(30, MIN(99, IFERROR((AR87-MIN($AR$2:$AR$101))/(MAX($AR$2:$AR$101)-MIN($AR$2:$AR$101))*99,30))),0))</x:f>
      </x:c>
      <x:c r="W87" s="20" t="str">
        <x:f>IF($B87="", "", ROUND(MAX(30, MIN(99, IFERROR((AS87-MIN($AS$2:$AS$101))/(MAX($AS$2:$AS$101)-MIN($AS$2:$AS$101))*99,30))),0))</x:f>
      </x:c>
      <x:c r="X87" s="20" t="str">
        <x:f>IF($B87="", "", ROUND(MAX(30, MIN(99, IFERROR((AT87-MIN($AT$2:$AT$101))/(MAX($AT$2:$AT$101)-MIN($AT$2:$AT$101))*99,30))),0))</x:f>
      </x:c>
      <x:c r="Y87" s="20" t="str">
        <x:f>IF($B87="","",ROUND(AVERAGE(I87:X87),0))</x:f>
      </x:c>
      <x:c r="Z87" s="20" t="str">
        <x:f>IF($B87="","",ROUND(MAX(30,MIN(99,IFS(ISNUMBER(SEARCH("PG",UPPER(SUBSTITUTE($C87,"/","-")))),84,ISNUMBER(SEARCH("SG",UPPER(SUBSTITUTE($C87,"/","-")))),76,ISNUMBER(SEARCH("SF",UPPER(SUBSTITUTE($C87,"/","-")))),68,ISNUMBER(SEARCH("PF",UPPER(SUBSTITUTE($C87,"/","-")))),55,ISNUMBER(SEARCH("C",UPPER(SUBSTITUTE($C87,"/","-")))),42,TRUE,65)+((195-IFERROR($D87,195))*0.15)+((95-IFERROR($E87,95))*0.08))),0))</x:f>
      </x:c>
      <x:c r="AA87" s="20" t="str">
        <x:f>IF($B87="","",ROUND(MAX(30,MIN(99,IFS(ISNUMBER(SEARCH("PG",UPPER(SUBSTITUTE($C87,"/","-")))),84,ISNUMBER(SEARCH("SG",UPPER(SUBSTITUTE($C87,"/","-")))),76,ISNUMBER(SEARCH("SF",UPPER(SUBSTITUTE($C87,"/","-")))),68,ISNUMBER(SEARCH("PF",UPPER(SUBSTITUTE($C87,"/","-")))),55,ISNUMBER(SEARCH("C",UPPER(SUBSTITUTE($C87,"/","-")))),42,TRUE,65)+((195-IFERROR($D87,195))*0.18)+((95-IFERROR($E87,95))*0.10))),0))</x:f>
      </x:c>
      <x:c r="AB87" s="20" t="str">
        <x:f>IF($B87="","",ROUND(MAX(30,MIN(99,IFS(ISNUMBER(SEARCH("PG",UPPER(SUBSTITUTE($C87,"/","-")))),84,ISNUMBER(SEARCH("SG",UPPER(SUBSTITUTE($C87,"/","-")))),76,ISNUMBER(SEARCH("SF",UPPER(SUBSTITUTE($C87,"/","-")))),68,ISNUMBER(SEARCH("PF",UPPER(SUBSTITUTE($C87,"/","-")))),55,ISNUMBER(SEARCH("C",UPPER(SUBSTITUTE($C87,"/","-")))),42,TRUE,65)+2+((195-IFERROR($D87,195))*0.14)+((95-IFERROR($E87,95))*0.09))),0))</x:f>
      </x:c>
      <x:c r="AC87" s="20" t="str">
        <x:f>IF($B87="","",ROUND(MAX(30,MIN(99,IFS(ISNUMBER(SEARCH("C",UPPER(SUBSTITUTE($C87,"/","-")))),92,ISNUMBER(SEARCH("PF",UPPER(SUBSTITUTE($C87,"/","-")))),82,ISNUMBER(SEARCH("SF",UPPER(SUBSTITUTE($C87,"/","-")))),64,ISNUMBER(SEARCH("SG",UPPER(SUBSTITUTE($C87,"/","-")))),48,ISNUMBER(SEARCH("PG",UPPER(SUBSTITUTE($C87,"/","-")))),36,TRUE,60)+((IFERROR($E87,95)-95)*0.45)+((IFERROR($D87,195)-195)*0.10)+((IFERROR($F87,200)-200)*0.08))),0))</x:f>
      </x:c>
      <x:c r="AD87" s="20" t="str">
        <x:f>IF($B87="","",ROUND(MAX(30,MIN(99,65+((IFERROR($F87,200)-200)*0.22)+((IFERROR($D87,195)-195)*0.08)-((IFERROR($E87,95)-95)*0.07))),0))</x:f>
      </x:c>
      <x:c r="AE87" s="15" t="n">
        <x:f>IFERROR(='입력데이터'!S87,0)*0.4+IFERROR(='입력데이터'!AP87,0)*0.4+IFERROR(='입력데이터'!AO87,0)*0.5</x:f>
        <x:v>0</x:v>
      </x:c>
      <x:c r="AF87" s="15" t="n">
        <x:f>IFERROR(='입력데이터'!S87,0)*0.5+IFERROR(='입력데이터'!P87,0)*0.8+IFERROR(='입력데이터'!AG87,0)</x:f>
        <x:v>0</x:v>
      </x:c>
      <x:c r="AG87" s="15" t="n">
        <x:f>IFERROR(='입력데이터'!AJ87,0)*8+IFERROR(IFERROR(='입력데이터'!AJ87,0)/IFERROR(='입력데이터'!AK87,0),0)*30</x:f>
        <x:v>0</x:v>
      </x:c>
      <x:c r="AH87" s="15" t="n">
        <x:f>IFERROR(='입력데이터'!AJ87,0)*6+IFERROR(='입력데이터'!AH87,0)*4</x:f>
        <x:v>0</x:v>
      </x:c>
      <x:c r="AI87" s="15" t="n">
        <x:f>IFERROR(='입력데이터'!AP87,0)*0.4+IFERROR(='입력데이터'!AE87,0)*1.5+IFERROR(='입력데이터'!Q87,0)*1.5</x:f>
        <x:v>0</x:v>
      </x:c>
      <x:c r="AJ87" s="15" t="n">
        <x:f>MAX(0,IFERROR(='입력데이터'!P87,0)-IFERROR(='입력데이터'!Q87,0)*2-IFERROR(='입력데이터'!T87,0)*3-IFERROR(='입력데이터'!Z87,0))*1.5+IFERROR(='입력데이터'!Y87,0)*0.3</x:f>
        <x:v>0</x:v>
      </x:c>
      <x:c r="AK87" s="15" t="n">
        <x:f>IFERROR(='입력데이터'!V87,0)*0.6+IFERROR(='입력데이터'!U87,0)*2+IFERROR(='입력데이터'!T87,0)*3</x:f>
        <x:v>0</x:v>
      </x:c>
      <x:c r="AL87" s="15" t="n">
        <x:f>IFERROR(='입력데이터'!AB87,0)*0.7+IFERROR(='입력데이터'!AA87,0)*1.5</x:f>
        <x:v>0</x:v>
      </x:c>
      <x:c r="AM87" s="15" t="n">
        <x:f>IFERROR(='입력데이터'!AF87,0)*5+IFERROR(IFERROR(='입력데이터'!AF87,0)/IFERROR(='입력데이터'!AL87,0),0)*3+IFERROR(='입력데이터'!AT87,0)</x:f>
        <x:v>0</x:v>
      </x:c>
      <x:c r="AN87" s="15" t="n">
        <x:f>IFERROR(='입력데이터'!AF87,0)*3+IFERROR(='입력데이터'!AG87,0)*3+IFERROR(IFERROR(='입력데이터'!AF87,0)/IFERROR(='입력데이터'!AL87,0),0)*4</x:f>
        <x:v>0</x:v>
      </x:c>
      <x:c r="AO87" s="15" t="n">
        <x:f>IFERROR(='입력데이터'!AG87,0)*12+IFERROR(='입력데이터'!AU87,0)*6</x:f>
        <x:v>0</x:v>
      </x:c>
      <x:c r="AP87" s="15" t="n">
        <x:f>IFERROR(='입력데이터'!AH87,0)*14+IFERROR(='입력데이터'!AD87,0)</x:f>
        <x:v>0</x:v>
      </x:c>
      <x:c r="AQ87" s="15" t="n">
        <x:f>IFERROR(='입력데이터'!AC87,0)*10</x:f>
        <x:v>0</x:v>
      </x:c>
      <x:c r="AR87" s="15" t="n">
        <x:f>IFERROR(='입력데이터'!AD87,0)*7+IFERROR(='입력데이터'!AH87,0)*2</x:f>
        <x:v>0</x:v>
      </x:c>
      <x:c r="AS87" s="15" t="n">
        <x:f>IFERROR(='입력데이터'!AH87,0)*8+IFERROR(='입력데이터'!AD87,0)*2+IFERROR(='입력데이터'!AI87,0)*4</x:f>
        <x:v>0</x:v>
      </x:c>
      <x:c r="AT87" s="16" t="n">
        <x:f>IFERROR(='입력데이터'!AG87,0)*8+IFERROR(='입력데이터'!AI87,0)*5+IFERROR(='입력데이터'!AU87,0)*4</x:f>
        <x:v>0</x:v>
      </x:c>
    </x:row>
    <x:row r="88">
      <x:c r="A88" s="14" t="str">
        <x:f>IF('입력데이터'!$B88="","",'입력데이터'!A88)</x:f>
      </x:c>
      <x:c r="B88" s="15" t="str">
        <x:f>IF('입력데이터'!$B88="","",'입력데이터'!B88)</x:f>
      </x:c>
      <x:c r="C88" s="15" t="str">
        <x:f>IF('입력데이터'!$B88="","",'입력데이터'!K88)</x:f>
      </x:c>
      <x:c r="D88" s="15" t="str">
        <x:f>IF('입력데이터'!$B88="","",'입력데이터'!H88)</x:f>
      </x:c>
      <x:c r="E88" s="15" t="str">
        <x:f>IF('입력데이터'!$B88="","",'입력데이터'!I88)</x:f>
      </x:c>
      <x:c r="F88" s="15" t="str">
        <x:f>IF('입력데이터'!$B88="","",'입력데이터'!J88)</x:f>
      </x:c>
      <x:c r="G88" s="15" t="str">
        <x:f>IF('입력데이터'!$B88="","",'입력데이터'!L88)</x:f>
      </x:c>
      <x:c r="H88" s="15" t="str">
        <x:f>IF('입력데이터'!$B88="","",'입력데이터'!O88)</x:f>
      </x:c>
      <x:c r="I88" s="20" t="str">
        <x:f>IF($B88="", "", ROUND(MAX(30, MIN(99, IFERROR((AE88-MIN($AE$2:$AE$101))/(MAX($AE$2:$AE$101)-MIN($AE$2:$AE$101))*99,30))),0))</x:f>
      </x:c>
      <x:c r="J88" s="20" t="str">
        <x:f>IF($B88="", "", ROUND(MAX(30, MIN(99, IFERROR((AF88-MIN($AF$2:$AF$101))/(MAX($AF$2:$AF$101)-MIN($AF$2:$AF$101))*99,30))),0))</x:f>
      </x:c>
      <x:c r="K88" s="20" t="str">
        <x:f>IF($B88="", "", ROUND(MAX(30, MIN(99, IFERROR((AG88-MIN($AG$2:$AG$101))/(MAX($AG$2:$AG$101)-MIN($AG$2:$AG$101))*99,30))),0))</x:f>
      </x:c>
      <x:c r="L88" s="20" t="str">
        <x:f>IF($B88="", "", ROUND(MAX(30, MIN(99, IFERROR((AH88-MIN($AH$2:$AH$101))/(MAX($AH$2:$AH$101)-MIN($AH$2:$AH$101))*99,30))),0))</x:f>
      </x:c>
      <x:c r="M88" s="20" t="str">
        <x:f>IF($B88="", "", ROUND(MAX(30, MIN(99, IFERROR((AI88-MIN($AI$2:$AI$101))/(MAX($AI$2:$AI$101)-MIN($AI$2:$AI$101))*99,30))),0))</x:f>
      </x:c>
      <x:c r="N88" s="20" t="str">
        <x:f>IF($B88="", "", ROUND(MAX(30, MIN(99, IFERROR((AJ88-MIN($AJ$2:$AJ$101))/(MAX($AJ$2:$AJ$101)-MIN($AJ$2:$AJ$101))*99,30))),0))</x:f>
      </x:c>
      <x:c r="O88" s="20" t="str">
        <x:f>IF($B88="", "", ROUND(MAX(30, MIN(99, IFERROR((AK88-MIN($AK$2:$AK$101))/(MAX($AK$2:$AK$101)-MIN($AK$2:$AK$101))*99,30))),0))</x:f>
      </x:c>
      <x:c r="P88" s="20" t="str">
        <x:f>IF($B88="", "", ROUND(MAX(30, MIN(99, IFERROR((AL88-MIN($AL$2:$AL$101))/(MAX($AL$2:$AL$101)-MIN($AL$2:$AL$101))*99,30))),0))</x:f>
      </x:c>
      <x:c r="Q88" s="20" t="str">
        <x:f>IF($B88="", "", ROUND(MAX(30, MIN(99, IFERROR((AM88-MIN($AM$2:$AM$101))/(MAX($AM$2:$AM$101)-MIN($AM$2:$AM$101))*99,30))),0))</x:f>
      </x:c>
      <x:c r="R88" s="20" t="str">
        <x:f>IF($B88="", "", ROUND(MAX(30, MIN(99, IFERROR((AN88-MIN($AN$2:$AN$101))/(MAX($AN$2:$AN$101)-MIN($AN$2:$AN$101))*99,30))),0))</x:f>
      </x:c>
      <x:c r="S88" s="20" t="str">
        <x:f>IF($B88="", "", ROUND(MAX(30, MIN(99, IFERROR((AO88-MIN($AO$2:$AO$101))/(MAX($AO$2:$AO$101)-MIN($AO$2:$AO$101))*99,30))),0))</x:f>
      </x:c>
      <x:c r="T88" s="20" t="str">
        <x:f>IF($B88="", "", ROUND(MAX(30, MIN(99, IFERROR((AP88-MIN($AP$2:$AP$101))/(MAX($AP$2:$AP$101)-MIN($AP$2:$AP$101))*99,30))),0))</x:f>
      </x:c>
      <x:c r="U88" s="20" t="str">
        <x:f>IF($B88="", "", ROUND(MAX(30, MIN(99, IFERROR((AQ88-MIN($AQ$2:$AQ$101))/(MAX($AQ$2:$AQ$101)-MIN($AQ$2:$AQ$101))*99,30))),0))</x:f>
      </x:c>
      <x:c r="V88" s="20" t="str">
        <x:f>IF($B88="", "", ROUND(MAX(30, MIN(99, IFERROR((AR88-MIN($AR$2:$AR$101))/(MAX($AR$2:$AR$101)-MIN($AR$2:$AR$101))*99,30))),0))</x:f>
      </x:c>
      <x:c r="W88" s="20" t="str">
        <x:f>IF($B88="", "", ROUND(MAX(30, MIN(99, IFERROR((AS88-MIN($AS$2:$AS$101))/(MAX($AS$2:$AS$101)-MIN($AS$2:$AS$101))*99,30))),0))</x:f>
      </x:c>
      <x:c r="X88" s="20" t="str">
        <x:f>IF($B88="", "", ROUND(MAX(30, MIN(99, IFERROR((AT88-MIN($AT$2:$AT$101))/(MAX($AT$2:$AT$101)-MIN($AT$2:$AT$101))*99,30))),0))</x:f>
      </x:c>
      <x:c r="Y88" s="20" t="str">
        <x:f>IF($B88="","",ROUND(AVERAGE(I88:X88),0))</x:f>
      </x:c>
      <x:c r="Z88" s="20" t="str">
        <x:f>IF($B88="","",ROUND(MAX(30,MIN(99,IFS(ISNUMBER(SEARCH("PG",UPPER(SUBSTITUTE($C88,"/","-")))),84,ISNUMBER(SEARCH("SG",UPPER(SUBSTITUTE($C88,"/","-")))),76,ISNUMBER(SEARCH("SF",UPPER(SUBSTITUTE($C88,"/","-")))),68,ISNUMBER(SEARCH("PF",UPPER(SUBSTITUTE($C88,"/","-")))),55,ISNUMBER(SEARCH("C",UPPER(SUBSTITUTE($C88,"/","-")))),42,TRUE,65)+((195-IFERROR($D88,195))*0.15)+((95-IFERROR($E88,95))*0.08))),0))</x:f>
      </x:c>
      <x:c r="AA88" s="20" t="str">
        <x:f>IF($B88="","",ROUND(MAX(30,MIN(99,IFS(ISNUMBER(SEARCH("PG",UPPER(SUBSTITUTE($C88,"/","-")))),84,ISNUMBER(SEARCH("SG",UPPER(SUBSTITUTE($C88,"/","-")))),76,ISNUMBER(SEARCH("SF",UPPER(SUBSTITUTE($C88,"/","-")))),68,ISNUMBER(SEARCH("PF",UPPER(SUBSTITUTE($C88,"/","-")))),55,ISNUMBER(SEARCH("C",UPPER(SUBSTITUTE($C88,"/","-")))),42,TRUE,65)+((195-IFERROR($D88,195))*0.18)+((95-IFERROR($E88,95))*0.10))),0))</x:f>
      </x:c>
      <x:c r="AB88" s="20" t="str">
        <x:f>IF($B88="","",ROUND(MAX(30,MIN(99,IFS(ISNUMBER(SEARCH("PG",UPPER(SUBSTITUTE($C88,"/","-")))),84,ISNUMBER(SEARCH("SG",UPPER(SUBSTITUTE($C88,"/","-")))),76,ISNUMBER(SEARCH("SF",UPPER(SUBSTITUTE($C88,"/","-")))),68,ISNUMBER(SEARCH("PF",UPPER(SUBSTITUTE($C88,"/","-")))),55,ISNUMBER(SEARCH("C",UPPER(SUBSTITUTE($C88,"/","-")))),42,TRUE,65)+2+((195-IFERROR($D88,195))*0.14)+((95-IFERROR($E88,95))*0.09))),0))</x:f>
      </x:c>
      <x:c r="AC88" s="20" t="str">
        <x:f>IF($B88="","",ROUND(MAX(30,MIN(99,IFS(ISNUMBER(SEARCH("C",UPPER(SUBSTITUTE($C88,"/","-")))),92,ISNUMBER(SEARCH("PF",UPPER(SUBSTITUTE($C88,"/","-")))),82,ISNUMBER(SEARCH("SF",UPPER(SUBSTITUTE($C88,"/","-")))),64,ISNUMBER(SEARCH("SG",UPPER(SUBSTITUTE($C88,"/","-")))),48,ISNUMBER(SEARCH("PG",UPPER(SUBSTITUTE($C88,"/","-")))),36,TRUE,60)+((IFERROR($E88,95)-95)*0.45)+((IFERROR($D88,195)-195)*0.10)+((IFERROR($F88,200)-200)*0.08))),0))</x:f>
      </x:c>
      <x:c r="AD88" s="20" t="str">
        <x:f>IF($B88="","",ROUND(MAX(30,MIN(99,65+((IFERROR($F88,200)-200)*0.22)+((IFERROR($D88,195)-195)*0.08)-((IFERROR($E88,95)-95)*0.07))),0))</x:f>
      </x:c>
      <x:c r="AE88" s="15" t="n">
        <x:f>IFERROR(='입력데이터'!S88,0)*0.4+IFERROR(='입력데이터'!AP88,0)*0.4+IFERROR(='입력데이터'!AO88,0)*0.5</x:f>
        <x:v>0</x:v>
      </x:c>
      <x:c r="AF88" s="15" t="n">
        <x:f>IFERROR(='입력데이터'!S88,0)*0.5+IFERROR(='입력데이터'!P88,0)*0.8+IFERROR(='입력데이터'!AG88,0)</x:f>
        <x:v>0</x:v>
      </x:c>
      <x:c r="AG88" s="15" t="n">
        <x:f>IFERROR(='입력데이터'!AJ88,0)*8+IFERROR(IFERROR(='입력데이터'!AJ88,0)/IFERROR(='입력데이터'!AK88,0),0)*30</x:f>
        <x:v>0</x:v>
      </x:c>
      <x:c r="AH88" s="15" t="n">
        <x:f>IFERROR(='입력데이터'!AJ88,0)*6+IFERROR(='입력데이터'!AH88,0)*4</x:f>
        <x:v>0</x:v>
      </x:c>
      <x:c r="AI88" s="15" t="n">
        <x:f>IFERROR(='입력데이터'!AP88,0)*0.4+IFERROR(='입력데이터'!AE88,0)*1.5+IFERROR(='입력데이터'!Q88,0)*1.5</x:f>
        <x:v>0</x:v>
      </x:c>
      <x:c r="AJ88" s="15" t="n">
        <x:f>MAX(0,IFERROR(='입력데이터'!P88,0)-IFERROR(='입력데이터'!Q88,0)*2-IFERROR(='입력데이터'!T88,0)*3-IFERROR(='입력데이터'!Z88,0))*1.5+IFERROR(='입력데이터'!Y88,0)*0.3</x:f>
        <x:v>0</x:v>
      </x:c>
      <x:c r="AK88" s="15" t="n">
        <x:f>IFERROR(='입력데이터'!V88,0)*0.6+IFERROR(='입력데이터'!U88,0)*2+IFERROR(='입력데이터'!T88,0)*3</x:f>
        <x:v>0</x:v>
      </x:c>
      <x:c r="AL88" s="15" t="n">
        <x:f>IFERROR(='입력데이터'!AB88,0)*0.7+IFERROR(='입력데이터'!AA88,0)*1.5</x:f>
        <x:v>0</x:v>
      </x:c>
      <x:c r="AM88" s="15" t="n">
        <x:f>IFERROR(='입력데이터'!AF88,0)*5+IFERROR(IFERROR(='입력데이터'!AF88,0)/IFERROR(='입력데이터'!AL88,0),0)*3+IFERROR(='입력데이터'!AT88,0)</x:f>
        <x:v>0</x:v>
      </x:c>
      <x:c r="AN88" s="15" t="n">
        <x:f>IFERROR(='입력데이터'!AF88,0)*3+IFERROR(='입력데이터'!AG88,0)*3+IFERROR(IFERROR(='입력데이터'!AF88,0)/IFERROR(='입력데이터'!AL88,0),0)*4</x:f>
        <x:v>0</x:v>
      </x:c>
      <x:c r="AO88" s="15" t="n">
        <x:f>IFERROR(='입력데이터'!AG88,0)*12+IFERROR(='입력데이터'!AU88,0)*6</x:f>
        <x:v>0</x:v>
      </x:c>
      <x:c r="AP88" s="15" t="n">
        <x:f>IFERROR(='입력데이터'!AH88,0)*14+IFERROR(='입력데이터'!AD88,0)</x:f>
        <x:v>0</x:v>
      </x:c>
      <x:c r="AQ88" s="15" t="n">
        <x:f>IFERROR(='입력데이터'!AC88,0)*10</x:f>
        <x:v>0</x:v>
      </x:c>
      <x:c r="AR88" s="15" t="n">
        <x:f>IFERROR(='입력데이터'!AD88,0)*7+IFERROR(='입력데이터'!AH88,0)*2</x:f>
        <x:v>0</x:v>
      </x:c>
      <x:c r="AS88" s="15" t="n">
        <x:f>IFERROR(='입력데이터'!AH88,0)*8+IFERROR(='입력데이터'!AD88,0)*2+IFERROR(='입력데이터'!AI88,0)*4</x:f>
        <x:v>0</x:v>
      </x:c>
      <x:c r="AT88" s="16" t="n">
        <x:f>IFERROR(='입력데이터'!AG88,0)*8+IFERROR(='입력데이터'!AI88,0)*5+IFERROR(='입력데이터'!AU88,0)*4</x:f>
        <x:v>0</x:v>
      </x:c>
    </x:row>
    <x:row r="89">
      <x:c r="A89" s="14" t="str">
        <x:f>IF('입력데이터'!$B89="","",'입력데이터'!A89)</x:f>
      </x:c>
      <x:c r="B89" s="15" t="str">
        <x:f>IF('입력데이터'!$B89="","",'입력데이터'!B89)</x:f>
      </x:c>
      <x:c r="C89" s="15" t="str">
        <x:f>IF('입력데이터'!$B89="","",'입력데이터'!K89)</x:f>
      </x:c>
      <x:c r="D89" s="15" t="str">
        <x:f>IF('입력데이터'!$B89="","",'입력데이터'!H89)</x:f>
      </x:c>
      <x:c r="E89" s="15" t="str">
        <x:f>IF('입력데이터'!$B89="","",'입력데이터'!I89)</x:f>
      </x:c>
      <x:c r="F89" s="15" t="str">
        <x:f>IF('입력데이터'!$B89="","",'입력데이터'!J89)</x:f>
      </x:c>
      <x:c r="G89" s="15" t="str">
        <x:f>IF('입력데이터'!$B89="","",'입력데이터'!L89)</x:f>
      </x:c>
      <x:c r="H89" s="15" t="str">
        <x:f>IF('입력데이터'!$B89="","",'입력데이터'!O89)</x:f>
      </x:c>
      <x:c r="I89" s="20" t="str">
        <x:f>IF($B89="", "", ROUND(MAX(30, MIN(99, IFERROR((AE89-MIN($AE$2:$AE$101))/(MAX($AE$2:$AE$101)-MIN($AE$2:$AE$101))*99,30))),0))</x:f>
      </x:c>
      <x:c r="J89" s="20" t="str">
        <x:f>IF($B89="", "", ROUND(MAX(30, MIN(99, IFERROR((AF89-MIN($AF$2:$AF$101))/(MAX($AF$2:$AF$101)-MIN($AF$2:$AF$101))*99,30))),0))</x:f>
      </x:c>
      <x:c r="K89" s="20" t="str">
        <x:f>IF($B89="", "", ROUND(MAX(30, MIN(99, IFERROR((AG89-MIN($AG$2:$AG$101))/(MAX($AG$2:$AG$101)-MIN($AG$2:$AG$101))*99,30))),0))</x:f>
      </x:c>
      <x:c r="L89" s="20" t="str">
        <x:f>IF($B89="", "", ROUND(MAX(30, MIN(99, IFERROR((AH89-MIN($AH$2:$AH$101))/(MAX($AH$2:$AH$101)-MIN($AH$2:$AH$101))*99,30))),0))</x:f>
      </x:c>
      <x:c r="M89" s="20" t="str">
        <x:f>IF($B89="", "", ROUND(MAX(30, MIN(99, IFERROR((AI89-MIN($AI$2:$AI$101))/(MAX($AI$2:$AI$101)-MIN($AI$2:$AI$101))*99,30))),0))</x:f>
      </x:c>
      <x:c r="N89" s="20" t="str">
        <x:f>IF($B89="", "", ROUND(MAX(30, MIN(99, IFERROR((AJ89-MIN($AJ$2:$AJ$101))/(MAX($AJ$2:$AJ$101)-MIN($AJ$2:$AJ$101))*99,30))),0))</x:f>
      </x:c>
      <x:c r="O89" s="20" t="str">
        <x:f>IF($B89="", "", ROUND(MAX(30, MIN(99, IFERROR((AK89-MIN($AK$2:$AK$101))/(MAX($AK$2:$AK$101)-MIN($AK$2:$AK$101))*99,30))),0))</x:f>
      </x:c>
      <x:c r="P89" s="20" t="str">
        <x:f>IF($B89="", "", ROUND(MAX(30, MIN(99, IFERROR((AL89-MIN($AL$2:$AL$101))/(MAX($AL$2:$AL$101)-MIN($AL$2:$AL$101))*99,30))),0))</x:f>
      </x:c>
      <x:c r="Q89" s="20" t="str">
        <x:f>IF($B89="", "", ROUND(MAX(30, MIN(99, IFERROR((AM89-MIN($AM$2:$AM$101))/(MAX($AM$2:$AM$101)-MIN($AM$2:$AM$101))*99,30))),0))</x:f>
      </x:c>
      <x:c r="R89" s="20" t="str">
        <x:f>IF($B89="", "", ROUND(MAX(30, MIN(99, IFERROR((AN89-MIN($AN$2:$AN$101))/(MAX($AN$2:$AN$101)-MIN($AN$2:$AN$101))*99,30))),0))</x:f>
      </x:c>
      <x:c r="S89" s="20" t="str">
        <x:f>IF($B89="", "", ROUND(MAX(30, MIN(99, IFERROR((AO89-MIN($AO$2:$AO$101))/(MAX($AO$2:$AO$101)-MIN($AO$2:$AO$101))*99,30))),0))</x:f>
      </x:c>
      <x:c r="T89" s="20" t="str">
        <x:f>IF($B89="", "", ROUND(MAX(30, MIN(99, IFERROR((AP89-MIN($AP$2:$AP$101))/(MAX($AP$2:$AP$101)-MIN($AP$2:$AP$101))*99,30))),0))</x:f>
      </x:c>
      <x:c r="U89" s="20" t="str">
        <x:f>IF($B89="", "", ROUND(MAX(30, MIN(99, IFERROR((AQ89-MIN($AQ$2:$AQ$101))/(MAX($AQ$2:$AQ$101)-MIN($AQ$2:$AQ$101))*99,30))),0))</x:f>
      </x:c>
      <x:c r="V89" s="20" t="str">
        <x:f>IF($B89="", "", ROUND(MAX(30, MIN(99, IFERROR((AR89-MIN($AR$2:$AR$101))/(MAX($AR$2:$AR$101)-MIN($AR$2:$AR$101))*99,30))),0))</x:f>
      </x:c>
      <x:c r="W89" s="20" t="str">
        <x:f>IF($B89="", "", ROUND(MAX(30, MIN(99, IFERROR((AS89-MIN($AS$2:$AS$101))/(MAX($AS$2:$AS$101)-MIN($AS$2:$AS$101))*99,30))),0))</x:f>
      </x:c>
      <x:c r="X89" s="20" t="str">
        <x:f>IF($B89="", "", ROUND(MAX(30, MIN(99, IFERROR((AT89-MIN($AT$2:$AT$101))/(MAX($AT$2:$AT$101)-MIN($AT$2:$AT$101))*99,30))),0))</x:f>
      </x:c>
      <x:c r="Y89" s="20" t="str">
        <x:f>IF($B89="","",ROUND(AVERAGE(I89:X89),0))</x:f>
      </x:c>
      <x:c r="Z89" s="20" t="str">
        <x:f>IF($B89="","",ROUND(MAX(30,MIN(99,IFS(ISNUMBER(SEARCH("PG",UPPER(SUBSTITUTE($C89,"/","-")))),84,ISNUMBER(SEARCH("SG",UPPER(SUBSTITUTE($C89,"/","-")))),76,ISNUMBER(SEARCH("SF",UPPER(SUBSTITUTE($C89,"/","-")))),68,ISNUMBER(SEARCH("PF",UPPER(SUBSTITUTE($C89,"/","-")))),55,ISNUMBER(SEARCH("C",UPPER(SUBSTITUTE($C89,"/","-")))),42,TRUE,65)+((195-IFERROR($D89,195))*0.15)+((95-IFERROR($E89,95))*0.08))),0))</x:f>
      </x:c>
      <x:c r="AA89" s="20" t="str">
        <x:f>IF($B89="","",ROUND(MAX(30,MIN(99,IFS(ISNUMBER(SEARCH("PG",UPPER(SUBSTITUTE($C89,"/","-")))),84,ISNUMBER(SEARCH("SG",UPPER(SUBSTITUTE($C89,"/","-")))),76,ISNUMBER(SEARCH("SF",UPPER(SUBSTITUTE($C89,"/","-")))),68,ISNUMBER(SEARCH("PF",UPPER(SUBSTITUTE($C89,"/","-")))),55,ISNUMBER(SEARCH("C",UPPER(SUBSTITUTE($C89,"/","-")))),42,TRUE,65)+((195-IFERROR($D89,195))*0.18)+((95-IFERROR($E89,95))*0.10))),0))</x:f>
      </x:c>
      <x:c r="AB89" s="20" t="str">
        <x:f>IF($B89="","",ROUND(MAX(30,MIN(99,IFS(ISNUMBER(SEARCH("PG",UPPER(SUBSTITUTE($C89,"/","-")))),84,ISNUMBER(SEARCH("SG",UPPER(SUBSTITUTE($C89,"/","-")))),76,ISNUMBER(SEARCH("SF",UPPER(SUBSTITUTE($C89,"/","-")))),68,ISNUMBER(SEARCH("PF",UPPER(SUBSTITUTE($C89,"/","-")))),55,ISNUMBER(SEARCH("C",UPPER(SUBSTITUTE($C89,"/","-")))),42,TRUE,65)+2+((195-IFERROR($D89,195))*0.14)+((95-IFERROR($E89,95))*0.09))),0))</x:f>
      </x:c>
      <x:c r="AC89" s="20" t="str">
        <x:f>IF($B89="","",ROUND(MAX(30,MIN(99,IFS(ISNUMBER(SEARCH("C",UPPER(SUBSTITUTE($C89,"/","-")))),92,ISNUMBER(SEARCH("PF",UPPER(SUBSTITUTE($C89,"/","-")))),82,ISNUMBER(SEARCH("SF",UPPER(SUBSTITUTE($C89,"/","-")))),64,ISNUMBER(SEARCH("SG",UPPER(SUBSTITUTE($C89,"/","-")))),48,ISNUMBER(SEARCH("PG",UPPER(SUBSTITUTE($C89,"/","-")))),36,TRUE,60)+((IFERROR($E89,95)-95)*0.45)+((IFERROR($D89,195)-195)*0.10)+((IFERROR($F89,200)-200)*0.08))),0))</x:f>
      </x:c>
      <x:c r="AD89" s="20" t="str">
        <x:f>IF($B89="","",ROUND(MAX(30,MIN(99,65+((IFERROR($F89,200)-200)*0.22)+((IFERROR($D89,195)-195)*0.08)-((IFERROR($E89,95)-95)*0.07))),0))</x:f>
      </x:c>
      <x:c r="AE89" s="15" t="n">
        <x:f>IFERROR(='입력데이터'!S89,0)*0.4+IFERROR(='입력데이터'!AP89,0)*0.4+IFERROR(='입력데이터'!AO89,0)*0.5</x:f>
        <x:v>0</x:v>
      </x:c>
      <x:c r="AF89" s="15" t="n">
        <x:f>IFERROR(='입력데이터'!S89,0)*0.5+IFERROR(='입력데이터'!P89,0)*0.8+IFERROR(='입력데이터'!AG89,0)</x:f>
        <x:v>0</x:v>
      </x:c>
      <x:c r="AG89" s="15" t="n">
        <x:f>IFERROR(='입력데이터'!AJ89,0)*8+IFERROR(IFERROR(='입력데이터'!AJ89,0)/IFERROR(='입력데이터'!AK89,0),0)*30</x:f>
        <x:v>0</x:v>
      </x:c>
      <x:c r="AH89" s="15" t="n">
        <x:f>IFERROR(='입력데이터'!AJ89,0)*6+IFERROR(='입력데이터'!AH89,0)*4</x:f>
        <x:v>0</x:v>
      </x:c>
      <x:c r="AI89" s="15" t="n">
        <x:f>IFERROR(='입력데이터'!AP89,0)*0.4+IFERROR(='입력데이터'!AE89,0)*1.5+IFERROR(='입력데이터'!Q89,0)*1.5</x:f>
        <x:v>0</x:v>
      </x:c>
      <x:c r="AJ89" s="15" t="n">
        <x:f>MAX(0,IFERROR(='입력데이터'!P89,0)-IFERROR(='입력데이터'!Q89,0)*2-IFERROR(='입력데이터'!T89,0)*3-IFERROR(='입력데이터'!Z89,0))*1.5+IFERROR(='입력데이터'!Y89,0)*0.3</x:f>
        <x:v>0</x:v>
      </x:c>
      <x:c r="AK89" s="15" t="n">
        <x:f>IFERROR(='입력데이터'!V89,0)*0.6+IFERROR(='입력데이터'!U89,0)*2+IFERROR(='입력데이터'!T89,0)*3</x:f>
        <x:v>0</x:v>
      </x:c>
      <x:c r="AL89" s="15" t="n">
        <x:f>IFERROR(='입력데이터'!AB89,0)*0.7+IFERROR(='입력데이터'!AA89,0)*1.5</x:f>
        <x:v>0</x:v>
      </x:c>
      <x:c r="AM89" s="15" t="n">
        <x:f>IFERROR(='입력데이터'!AF89,0)*5+IFERROR(IFERROR(='입력데이터'!AF89,0)/IFERROR(='입력데이터'!AL89,0),0)*3+IFERROR(='입력데이터'!AT89,0)</x:f>
        <x:v>0</x:v>
      </x:c>
      <x:c r="AN89" s="15" t="n">
        <x:f>IFERROR(='입력데이터'!AF89,0)*3+IFERROR(='입력데이터'!AG89,0)*3+IFERROR(IFERROR(='입력데이터'!AF89,0)/IFERROR(='입력데이터'!AL89,0),0)*4</x:f>
        <x:v>0</x:v>
      </x:c>
      <x:c r="AO89" s="15" t="n">
        <x:f>IFERROR(='입력데이터'!AG89,0)*12+IFERROR(='입력데이터'!AU89,0)*6</x:f>
        <x:v>0</x:v>
      </x:c>
      <x:c r="AP89" s="15" t="n">
        <x:f>IFERROR(='입력데이터'!AH89,0)*14+IFERROR(='입력데이터'!AD89,0)</x:f>
        <x:v>0</x:v>
      </x:c>
      <x:c r="AQ89" s="15" t="n">
        <x:f>IFERROR(='입력데이터'!AC89,0)*10</x:f>
        <x:v>0</x:v>
      </x:c>
      <x:c r="AR89" s="15" t="n">
        <x:f>IFERROR(='입력데이터'!AD89,0)*7+IFERROR(='입력데이터'!AH89,0)*2</x:f>
        <x:v>0</x:v>
      </x:c>
      <x:c r="AS89" s="15" t="n">
        <x:f>IFERROR(='입력데이터'!AH89,0)*8+IFERROR(='입력데이터'!AD89,0)*2+IFERROR(='입력데이터'!AI89,0)*4</x:f>
        <x:v>0</x:v>
      </x:c>
      <x:c r="AT89" s="16" t="n">
        <x:f>IFERROR(='입력데이터'!AG89,0)*8+IFERROR(='입력데이터'!AI89,0)*5+IFERROR(='입력데이터'!AU89,0)*4</x:f>
        <x:v>0</x:v>
      </x:c>
    </x:row>
    <x:row r="90">
      <x:c r="A90" s="14" t="str">
        <x:f>IF('입력데이터'!$B90="","",'입력데이터'!A90)</x:f>
      </x:c>
      <x:c r="B90" s="15" t="str">
        <x:f>IF('입력데이터'!$B90="","",'입력데이터'!B90)</x:f>
      </x:c>
      <x:c r="C90" s="15" t="str">
        <x:f>IF('입력데이터'!$B90="","",'입력데이터'!K90)</x:f>
      </x:c>
      <x:c r="D90" s="15" t="str">
        <x:f>IF('입력데이터'!$B90="","",'입력데이터'!H90)</x:f>
      </x:c>
      <x:c r="E90" s="15" t="str">
        <x:f>IF('입력데이터'!$B90="","",'입력데이터'!I90)</x:f>
      </x:c>
      <x:c r="F90" s="15" t="str">
        <x:f>IF('입력데이터'!$B90="","",'입력데이터'!J90)</x:f>
      </x:c>
      <x:c r="G90" s="15" t="str">
        <x:f>IF('입력데이터'!$B90="","",'입력데이터'!L90)</x:f>
      </x:c>
      <x:c r="H90" s="15" t="str">
        <x:f>IF('입력데이터'!$B90="","",'입력데이터'!O90)</x:f>
      </x:c>
      <x:c r="I90" s="20" t="str">
        <x:f>IF($B90="", "", ROUND(MAX(30, MIN(99, IFERROR((AE90-MIN($AE$2:$AE$101))/(MAX($AE$2:$AE$101)-MIN($AE$2:$AE$101))*99,30))),0))</x:f>
      </x:c>
      <x:c r="J90" s="20" t="str">
        <x:f>IF($B90="", "", ROUND(MAX(30, MIN(99, IFERROR((AF90-MIN($AF$2:$AF$101))/(MAX($AF$2:$AF$101)-MIN($AF$2:$AF$101))*99,30))),0))</x:f>
      </x:c>
      <x:c r="K90" s="20" t="str">
        <x:f>IF($B90="", "", ROUND(MAX(30, MIN(99, IFERROR((AG90-MIN($AG$2:$AG$101))/(MAX($AG$2:$AG$101)-MIN($AG$2:$AG$101))*99,30))),0))</x:f>
      </x:c>
      <x:c r="L90" s="20" t="str">
        <x:f>IF($B90="", "", ROUND(MAX(30, MIN(99, IFERROR((AH90-MIN($AH$2:$AH$101))/(MAX($AH$2:$AH$101)-MIN($AH$2:$AH$101))*99,30))),0))</x:f>
      </x:c>
      <x:c r="M90" s="20" t="str">
        <x:f>IF($B90="", "", ROUND(MAX(30, MIN(99, IFERROR((AI90-MIN($AI$2:$AI$101))/(MAX($AI$2:$AI$101)-MIN($AI$2:$AI$101))*99,30))),0))</x:f>
      </x:c>
      <x:c r="N90" s="20" t="str">
        <x:f>IF($B90="", "", ROUND(MAX(30, MIN(99, IFERROR((AJ90-MIN($AJ$2:$AJ$101))/(MAX($AJ$2:$AJ$101)-MIN($AJ$2:$AJ$101))*99,30))),0))</x:f>
      </x:c>
      <x:c r="O90" s="20" t="str">
        <x:f>IF($B90="", "", ROUND(MAX(30, MIN(99, IFERROR((AK90-MIN($AK$2:$AK$101))/(MAX($AK$2:$AK$101)-MIN($AK$2:$AK$101))*99,30))),0))</x:f>
      </x:c>
      <x:c r="P90" s="20" t="str">
        <x:f>IF($B90="", "", ROUND(MAX(30, MIN(99, IFERROR((AL90-MIN($AL$2:$AL$101))/(MAX($AL$2:$AL$101)-MIN($AL$2:$AL$101))*99,30))),0))</x:f>
      </x:c>
      <x:c r="Q90" s="20" t="str">
        <x:f>IF($B90="", "", ROUND(MAX(30, MIN(99, IFERROR((AM90-MIN($AM$2:$AM$101))/(MAX($AM$2:$AM$101)-MIN($AM$2:$AM$101))*99,30))),0))</x:f>
      </x:c>
      <x:c r="R90" s="20" t="str">
        <x:f>IF($B90="", "", ROUND(MAX(30, MIN(99, IFERROR((AN90-MIN($AN$2:$AN$101))/(MAX($AN$2:$AN$101)-MIN($AN$2:$AN$101))*99,30))),0))</x:f>
      </x:c>
      <x:c r="S90" s="20" t="str">
        <x:f>IF($B90="", "", ROUND(MAX(30, MIN(99, IFERROR((AO90-MIN($AO$2:$AO$101))/(MAX($AO$2:$AO$101)-MIN($AO$2:$AO$101))*99,30))),0))</x:f>
      </x:c>
      <x:c r="T90" s="20" t="str">
        <x:f>IF($B90="", "", ROUND(MAX(30, MIN(99, IFERROR((AP90-MIN($AP$2:$AP$101))/(MAX($AP$2:$AP$101)-MIN($AP$2:$AP$101))*99,30))),0))</x:f>
      </x:c>
      <x:c r="U90" s="20" t="str">
        <x:f>IF($B90="", "", ROUND(MAX(30, MIN(99, IFERROR((AQ90-MIN($AQ$2:$AQ$101))/(MAX($AQ$2:$AQ$101)-MIN($AQ$2:$AQ$101))*99,30))),0))</x:f>
      </x:c>
      <x:c r="V90" s="20" t="str">
        <x:f>IF($B90="", "", ROUND(MAX(30, MIN(99, IFERROR((AR90-MIN($AR$2:$AR$101))/(MAX($AR$2:$AR$101)-MIN($AR$2:$AR$101))*99,30))),0))</x:f>
      </x:c>
      <x:c r="W90" s="20" t="str">
        <x:f>IF($B90="", "", ROUND(MAX(30, MIN(99, IFERROR((AS90-MIN($AS$2:$AS$101))/(MAX($AS$2:$AS$101)-MIN($AS$2:$AS$101))*99,30))),0))</x:f>
      </x:c>
      <x:c r="X90" s="20" t="str">
        <x:f>IF($B90="", "", ROUND(MAX(30, MIN(99, IFERROR((AT90-MIN($AT$2:$AT$101))/(MAX($AT$2:$AT$101)-MIN($AT$2:$AT$101))*99,30))),0))</x:f>
      </x:c>
      <x:c r="Y90" s="20" t="str">
        <x:f>IF($B90="","",ROUND(AVERAGE(I90:X90),0))</x:f>
      </x:c>
      <x:c r="Z90" s="20" t="str">
        <x:f>IF($B90="","",ROUND(MAX(30,MIN(99,IFS(ISNUMBER(SEARCH("PG",UPPER(SUBSTITUTE($C90,"/","-")))),84,ISNUMBER(SEARCH("SG",UPPER(SUBSTITUTE($C90,"/","-")))),76,ISNUMBER(SEARCH("SF",UPPER(SUBSTITUTE($C90,"/","-")))),68,ISNUMBER(SEARCH("PF",UPPER(SUBSTITUTE($C90,"/","-")))),55,ISNUMBER(SEARCH("C",UPPER(SUBSTITUTE($C90,"/","-")))),42,TRUE,65)+((195-IFERROR($D90,195))*0.15)+((95-IFERROR($E90,95))*0.08))),0))</x:f>
      </x:c>
      <x:c r="AA90" s="20" t="str">
        <x:f>IF($B90="","",ROUND(MAX(30,MIN(99,IFS(ISNUMBER(SEARCH("PG",UPPER(SUBSTITUTE($C90,"/","-")))),84,ISNUMBER(SEARCH("SG",UPPER(SUBSTITUTE($C90,"/","-")))),76,ISNUMBER(SEARCH("SF",UPPER(SUBSTITUTE($C90,"/","-")))),68,ISNUMBER(SEARCH("PF",UPPER(SUBSTITUTE($C90,"/","-")))),55,ISNUMBER(SEARCH("C",UPPER(SUBSTITUTE($C90,"/","-")))),42,TRUE,65)+((195-IFERROR($D90,195))*0.18)+((95-IFERROR($E90,95))*0.10))),0))</x:f>
      </x:c>
      <x:c r="AB90" s="20" t="str">
        <x:f>IF($B90="","",ROUND(MAX(30,MIN(99,IFS(ISNUMBER(SEARCH("PG",UPPER(SUBSTITUTE($C90,"/","-")))),84,ISNUMBER(SEARCH("SG",UPPER(SUBSTITUTE($C90,"/","-")))),76,ISNUMBER(SEARCH("SF",UPPER(SUBSTITUTE($C90,"/","-")))),68,ISNUMBER(SEARCH("PF",UPPER(SUBSTITUTE($C90,"/","-")))),55,ISNUMBER(SEARCH("C",UPPER(SUBSTITUTE($C90,"/","-")))),42,TRUE,65)+2+((195-IFERROR($D90,195))*0.14)+((95-IFERROR($E90,95))*0.09))),0))</x:f>
      </x:c>
      <x:c r="AC90" s="20" t="str">
        <x:f>IF($B90="","",ROUND(MAX(30,MIN(99,IFS(ISNUMBER(SEARCH("C",UPPER(SUBSTITUTE($C90,"/","-")))),92,ISNUMBER(SEARCH("PF",UPPER(SUBSTITUTE($C90,"/","-")))),82,ISNUMBER(SEARCH("SF",UPPER(SUBSTITUTE($C90,"/","-")))),64,ISNUMBER(SEARCH("SG",UPPER(SUBSTITUTE($C90,"/","-")))),48,ISNUMBER(SEARCH("PG",UPPER(SUBSTITUTE($C90,"/","-")))),36,TRUE,60)+((IFERROR($E90,95)-95)*0.45)+((IFERROR($D90,195)-195)*0.10)+((IFERROR($F90,200)-200)*0.08))),0))</x:f>
      </x:c>
      <x:c r="AD90" s="20" t="str">
        <x:f>IF($B90="","",ROUND(MAX(30,MIN(99,65+((IFERROR($F90,200)-200)*0.22)+((IFERROR($D90,195)-195)*0.08)-((IFERROR($E90,95)-95)*0.07))),0))</x:f>
      </x:c>
      <x:c r="AE90" s="15" t="n">
        <x:f>IFERROR(='입력데이터'!S90,0)*0.4+IFERROR(='입력데이터'!AP90,0)*0.4+IFERROR(='입력데이터'!AO90,0)*0.5</x:f>
        <x:v>0</x:v>
      </x:c>
      <x:c r="AF90" s="15" t="n">
        <x:f>IFERROR(='입력데이터'!S90,0)*0.5+IFERROR(='입력데이터'!P90,0)*0.8+IFERROR(='입력데이터'!AG90,0)</x:f>
        <x:v>0</x:v>
      </x:c>
      <x:c r="AG90" s="15" t="n">
        <x:f>IFERROR(='입력데이터'!AJ90,0)*8+IFERROR(IFERROR(='입력데이터'!AJ90,0)/IFERROR(='입력데이터'!AK90,0),0)*30</x:f>
        <x:v>0</x:v>
      </x:c>
      <x:c r="AH90" s="15" t="n">
        <x:f>IFERROR(='입력데이터'!AJ90,0)*6+IFERROR(='입력데이터'!AH90,0)*4</x:f>
        <x:v>0</x:v>
      </x:c>
      <x:c r="AI90" s="15" t="n">
        <x:f>IFERROR(='입력데이터'!AP90,0)*0.4+IFERROR(='입력데이터'!AE90,0)*1.5+IFERROR(='입력데이터'!Q90,0)*1.5</x:f>
        <x:v>0</x:v>
      </x:c>
      <x:c r="AJ90" s="15" t="n">
        <x:f>MAX(0,IFERROR(='입력데이터'!P90,0)-IFERROR(='입력데이터'!Q90,0)*2-IFERROR(='입력데이터'!T90,0)*3-IFERROR(='입력데이터'!Z90,0))*1.5+IFERROR(='입력데이터'!Y90,0)*0.3</x:f>
        <x:v>0</x:v>
      </x:c>
      <x:c r="AK90" s="15" t="n">
        <x:f>IFERROR(='입력데이터'!V90,0)*0.6+IFERROR(='입력데이터'!U90,0)*2+IFERROR(='입력데이터'!T90,0)*3</x:f>
        <x:v>0</x:v>
      </x:c>
      <x:c r="AL90" s="15" t="n">
        <x:f>IFERROR(='입력데이터'!AB90,0)*0.7+IFERROR(='입력데이터'!AA90,0)*1.5</x:f>
        <x:v>0</x:v>
      </x:c>
      <x:c r="AM90" s="15" t="n">
        <x:f>IFERROR(='입력데이터'!AF90,0)*5+IFERROR(IFERROR(='입력데이터'!AF90,0)/IFERROR(='입력데이터'!AL90,0),0)*3+IFERROR(='입력데이터'!AT90,0)</x:f>
        <x:v>0</x:v>
      </x:c>
      <x:c r="AN90" s="15" t="n">
        <x:f>IFERROR(='입력데이터'!AF90,0)*3+IFERROR(='입력데이터'!AG90,0)*3+IFERROR(IFERROR(='입력데이터'!AF90,0)/IFERROR(='입력데이터'!AL90,0),0)*4</x:f>
        <x:v>0</x:v>
      </x:c>
      <x:c r="AO90" s="15" t="n">
        <x:f>IFERROR(='입력데이터'!AG90,0)*12+IFERROR(='입력데이터'!AU90,0)*6</x:f>
        <x:v>0</x:v>
      </x:c>
      <x:c r="AP90" s="15" t="n">
        <x:f>IFERROR(='입력데이터'!AH90,0)*14+IFERROR(='입력데이터'!AD90,0)</x:f>
        <x:v>0</x:v>
      </x:c>
      <x:c r="AQ90" s="15" t="n">
        <x:f>IFERROR(='입력데이터'!AC90,0)*10</x:f>
        <x:v>0</x:v>
      </x:c>
      <x:c r="AR90" s="15" t="n">
        <x:f>IFERROR(='입력데이터'!AD90,0)*7+IFERROR(='입력데이터'!AH90,0)*2</x:f>
        <x:v>0</x:v>
      </x:c>
      <x:c r="AS90" s="15" t="n">
        <x:f>IFERROR(='입력데이터'!AH90,0)*8+IFERROR(='입력데이터'!AD90,0)*2+IFERROR(='입력데이터'!AI90,0)*4</x:f>
        <x:v>0</x:v>
      </x:c>
      <x:c r="AT90" s="16" t="n">
        <x:f>IFERROR(='입력데이터'!AG90,0)*8+IFERROR(='입력데이터'!AI90,0)*5+IFERROR(='입력데이터'!AU90,0)*4</x:f>
        <x:v>0</x:v>
      </x:c>
    </x:row>
    <x:row r="91">
      <x:c r="A91" s="14" t="str">
        <x:f>IF('입력데이터'!$B91="","",'입력데이터'!A91)</x:f>
      </x:c>
      <x:c r="B91" s="15" t="str">
        <x:f>IF('입력데이터'!$B91="","",'입력데이터'!B91)</x:f>
      </x:c>
      <x:c r="C91" s="15" t="str">
        <x:f>IF('입력데이터'!$B91="","",'입력데이터'!K91)</x:f>
      </x:c>
      <x:c r="D91" s="15" t="str">
        <x:f>IF('입력데이터'!$B91="","",'입력데이터'!H91)</x:f>
      </x:c>
      <x:c r="E91" s="15" t="str">
        <x:f>IF('입력데이터'!$B91="","",'입력데이터'!I91)</x:f>
      </x:c>
      <x:c r="F91" s="15" t="str">
        <x:f>IF('입력데이터'!$B91="","",'입력데이터'!J91)</x:f>
      </x:c>
      <x:c r="G91" s="15" t="str">
        <x:f>IF('입력데이터'!$B91="","",'입력데이터'!L91)</x:f>
      </x:c>
      <x:c r="H91" s="15" t="str">
        <x:f>IF('입력데이터'!$B91="","",'입력데이터'!O91)</x:f>
      </x:c>
      <x:c r="I91" s="20" t="str">
        <x:f>IF($B91="", "", ROUND(MAX(30, MIN(99, IFERROR((AE91-MIN($AE$2:$AE$101))/(MAX($AE$2:$AE$101)-MIN($AE$2:$AE$101))*99,30))),0))</x:f>
      </x:c>
      <x:c r="J91" s="20" t="str">
        <x:f>IF($B91="", "", ROUND(MAX(30, MIN(99, IFERROR((AF91-MIN($AF$2:$AF$101))/(MAX($AF$2:$AF$101)-MIN($AF$2:$AF$101))*99,30))),0))</x:f>
      </x:c>
      <x:c r="K91" s="20" t="str">
        <x:f>IF($B91="", "", ROUND(MAX(30, MIN(99, IFERROR((AG91-MIN($AG$2:$AG$101))/(MAX($AG$2:$AG$101)-MIN($AG$2:$AG$101))*99,30))),0))</x:f>
      </x:c>
      <x:c r="L91" s="20" t="str">
        <x:f>IF($B91="", "", ROUND(MAX(30, MIN(99, IFERROR((AH91-MIN($AH$2:$AH$101))/(MAX($AH$2:$AH$101)-MIN($AH$2:$AH$101))*99,30))),0))</x:f>
      </x:c>
      <x:c r="M91" s="20" t="str">
        <x:f>IF($B91="", "", ROUND(MAX(30, MIN(99, IFERROR((AI91-MIN($AI$2:$AI$101))/(MAX($AI$2:$AI$101)-MIN($AI$2:$AI$101))*99,30))),0))</x:f>
      </x:c>
      <x:c r="N91" s="20" t="str">
        <x:f>IF($B91="", "", ROUND(MAX(30, MIN(99, IFERROR((AJ91-MIN($AJ$2:$AJ$101))/(MAX($AJ$2:$AJ$101)-MIN($AJ$2:$AJ$101))*99,30))),0))</x:f>
      </x:c>
      <x:c r="O91" s="20" t="str">
        <x:f>IF($B91="", "", ROUND(MAX(30, MIN(99, IFERROR((AK91-MIN($AK$2:$AK$101))/(MAX($AK$2:$AK$101)-MIN($AK$2:$AK$101))*99,30))),0))</x:f>
      </x:c>
      <x:c r="P91" s="20" t="str">
        <x:f>IF($B91="", "", ROUND(MAX(30, MIN(99, IFERROR((AL91-MIN($AL$2:$AL$101))/(MAX($AL$2:$AL$101)-MIN($AL$2:$AL$101))*99,30))),0))</x:f>
      </x:c>
      <x:c r="Q91" s="20" t="str">
        <x:f>IF($B91="", "", ROUND(MAX(30, MIN(99, IFERROR((AM91-MIN($AM$2:$AM$101))/(MAX($AM$2:$AM$101)-MIN($AM$2:$AM$101))*99,30))),0))</x:f>
      </x:c>
      <x:c r="R91" s="20" t="str">
        <x:f>IF($B91="", "", ROUND(MAX(30, MIN(99, IFERROR((AN91-MIN($AN$2:$AN$101))/(MAX($AN$2:$AN$101)-MIN($AN$2:$AN$101))*99,30))),0))</x:f>
      </x:c>
      <x:c r="S91" s="20" t="str">
        <x:f>IF($B91="", "", ROUND(MAX(30, MIN(99, IFERROR((AO91-MIN($AO$2:$AO$101))/(MAX($AO$2:$AO$101)-MIN($AO$2:$AO$101))*99,30))),0))</x:f>
      </x:c>
      <x:c r="T91" s="20" t="str">
        <x:f>IF($B91="", "", ROUND(MAX(30, MIN(99, IFERROR((AP91-MIN($AP$2:$AP$101))/(MAX($AP$2:$AP$101)-MIN($AP$2:$AP$101))*99,30))),0))</x:f>
      </x:c>
      <x:c r="U91" s="20" t="str">
        <x:f>IF($B91="", "", ROUND(MAX(30, MIN(99, IFERROR((AQ91-MIN($AQ$2:$AQ$101))/(MAX($AQ$2:$AQ$101)-MIN($AQ$2:$AQ$101))*99,30))),0))</x:f>
      </x:c>
      <x:c r="V91" s="20" t="str">
        <x:f>IF($B91="", "", ROUND(MAX(30, MIN(99, IFERROR((AR91-MIN($AR$2:$AR$101))/(MAX($AR$2:$AR$101)-MIN($AR$2:$AR$101))*99,30))),0))</x:f>
      </x:c>
      <x:c r="W91" s="20" t="str">
        <x:f>IF($B91="", "", ROUND(MAX(30, MIN(99, IFERROR((AS91-MIN($AS$2:$AS$101))/(MAX($AS$2:$AS$101)-MIN($AS$2:$AS$101))*99,30))),0))</x:f>
      </x:c>
      <x:c r="X91" s="20" t="str">
        <x:f>IF($B91="", "", ROUND(MAX(30, MIN(99, IFERROR((AT91-MIN($AT$2:$AT$101))/(MAX($AT$2:$AT$101)-MIN($AT$2:$AT$101))*99,30))),0))</x:f>
      </x:c>
      <x:c r="Y91" s="20" t="str">
        <x:f>IF($B91="","",ROUND(AVERAGE(I91:X91),0))</x:f>
      </x:c>
      <x:c r="Z91" s="20" t="str">
        <x:f>IF($B91="","",ROUND(MAX(30,MIN(99,IFS(ISNUMBER(SEARCH("PG",UPPER(SUBSTITUTE($C91,"/","-")))),84,ISNUMBER(SEARCH("SG",UPPER(SUBSTITUTE($C91,"/","-")))),76,ISNUMBER(SEARCH("SF",UPPER(SUBSTITUTE($C91,"/","-")))),68,ISNUMBER(SEARCH("PF",UPPER(SUBSTITUTE($C91,"/","-")))),55,ISNUMBER(SEARCH("C",UPPER(SUBSTITUTE($C91,"/","-")))),42,TRUE,65)+((195-IFERROR($D91,195))*0.15)+((95-IFERROR($E91,95))*0.08))),0))</x:f>
      </x:c>
      <x:c r="AA91" s="20" t="str">
        <x:f>IF($B91="","",ROUND(MAX(30,MIN(99,IFS(ISNUMBER(SEARCH("PG",UPPER(SUBSTITUTE($C91,"/","-")))),84,ISNUMBER(SEARCH("SG",UPPER(SUBSTITUTE($C91,"/","-")))),76,ISNUMBER(SEARCH("SF",UPPER(SUBSTITUTE($C91,"/","-")))),68,ISNUMBER(SEARCH("PF",UPPER(SUBSTITUTE($C91,"/","-")))),55,ISNUMBER(SEARCH("C",UPPER(SUBSTITUTE($C91,"/","-")))),42,TRUE,65)+((195-IFERROR($D91,195))*0.18)+((95-IFERROR($E91,95))*0.10))),0))</x:f>
      </x:c>
      <x:c r="AB91" s="20" t="str">
        <x:f>IF($B91="","",ROUND(MAX(30,MIN(99,IFS(ISNUMBER(SEARCH("PG",UPPER(SUBSTITUTE($C91,"/","-")))),84,ISNUMBER(SEARCH("SG",UPPER(SUBSTITUTE($C91,"/","-")))),76,ISNUMBER(SEARCH("SF",UPPER(SUBSTITUTE($C91,"/","-")))),68,ISNUMBER(SEARCH("PF",UPPER(SUBSTITUTE($C91,"/","-")))),55,ISNUMBER(SEARCH("C",UPPER(SUBSTITUTE($C91,"/","-")))),42,TRUE,65)+2+((195-IFERROR($D91,195))*0.14)+((95-IFERROR($E91,95))*0.09))),0))</x:f>
      </x:c>
      <x:c r="AC91" s="20" t="str">
        <x:f>IF($B91="","",ROUND(MAX(30,MIN(99,IFS(ISNUMBER(SEARCH("C",UPPER(SUBSTITUTE($C91,"/","-")))),92,ISNUMBER(SEARCH("PF",UPPER(SUBSTITUTE($C91,"/","-")))),82,ISNUMBER(SEARCH("SF",UPPER(SUBSTITUTE($C91,"/","-")))),64,ISNUMBER(SEARCH("SG",UPPER(SUBSTITUTE($C91,"/","-")))),48,ISNUMBER(SEARCH("PG",UPPER(SUBSTITUTE($C91,"/","-")))),36,TRUE,60)+((IFERROR($E91,95)-95)*0.45)+((IFERROR($D91,195)-195)*0.10)+((IFERROR($F91,200)-200)*0.08))),0))</x:f>
      </x:c>
      <x:c r="AD91" s="20" t="str">
        <x:f>IF($B91="","",ROUND(MAX(30,MIN(99,65+((IFERROR($F91,200)-200)*0.22)+((IFERROR($D91,195)-195)*0.08)-((IFERROR($E91,95)-95)*0.07))),0))</x:f>
      </x:c>
      <x:c r="AE91" s="15" t="n">
        <x:f>IFERROR(='입력데이터'!S91,0)*0.4+IFERROR(='입력데이터'!AP91,0)*0.4+IFERROR(='입력데이터'!AO91,0)*0.5</x:f>
        <x:v>0</x:v>
      </x:c>
      <x:c r="AF91" s="15" t="n">
        <x:f>IFERROR(='입력데이터'!S91,0)*0.5+IFERROR(='입력데이터'!P91,0)*0.8+IFERROR(='입력데이터'!AG91,0)</x:f>
        <x:v>0</x:v>
      </x:c>
      <x:c r="AG91" s="15" t="n">
        <x:f>IFERROR(='입력데이터'!AJ91,0)*8+IFERROR(IFERROR(='입력데이터'!AJ91,0)/IFERROR(='입력데이터'!AK91,0),0)*30</x:f>
        <x:v>0</x:v>
      </x:c>
      <x:c r="AH91" s="15" t="n">
        <x:f>IFERROR(='입력데이터'!AJ91,0)*6+IFERROR(='입력데이터'!AH91,0)*4</x:f>
        <x:v>0</x:v>
      </x:c>
      <x:c r="AI91" s="15" t="n">
        <x:f>IFERROR(='입력데이터'!AP91,0)*0.4+IFERROR(='입력데이터'!AE91,0)*1.5+IFERROR(='입력데이터'!Q91,0)*1.5</x:f>
        <x:v>0</x:v>
      </x:c>
      <x:c r="AJ91" s="15" t="n">
        <x:f>MAX(0,IFERROR(='입력데이터'!P91,0)-IFERROR(='입력데이터'!Q91,0)*2-IFERROR(='입력데이터'!T91,0)*3-IFERROR(='입력데이터'!Z91,0))*1.5+IFERROR(='입력데이터'!Y91,0)*0.3</x:f>
        <x:v>0</x:v>
      </x:c>
      <x:c r="AK91" s="15" t="n">
        <x:f>IFERROR(='입력데이터'!V91,0)*0.6+IFERROR(='입력데이터'!U91,0)*2+IFERROR(='입력데이터'!T91,0)*3</x:f>
        <x:v>0</x:v>
      </x:c>
      <x:c r="AL91" s="15" t="n">
        <x:f>IFERROR(='입력데이터'!AB91,0)*0.7+IFERROR(='입력데이터'!AA91,0)*1.5</x:f>
        <x:v>0</x:v>
      </x:c>
      <x:c r="AM91" s="15" t="n">
        <x:f>IFERROR(='입력데이터'!AF91,0)*5+IFERROR(IFERROR(='입력데이터'!AF91,0)/IFERROR(='입력데이터'!AL91,0),0)*3+IFERROR(='입력데이터'!AT91,0)</x:f>
        <x:v>0</x:v>
      </x:c>
      <x:c r="AN91" s="15" t="n">
        <x:f>IFERROR(='입력데이터'!AF91,0)*3+IFERROR(='입력데이터'!AG91,0)*3+IFERROR(IFERROR(='입력데이터'!AF91,0)/IFERROR(='입력데이터'!AL91,0),0)*4</x:f>
        <x:v>0</x:v>
      </x:c>
      <x:c r="AO91" s="15" t="n">
        <x:f>IFERROR(='입력데이터'!AG91,0)*12+IFERROR(='입력데이터'!AU91,0)*6</x:f>
        <x:v>0</x:v>
      </x:c>
      <x:c r="AP91" s="15" t="n">
        <x:f>IFERROR(='입력데이터'!AH91,0)*14+IFERROR(='입력데이터'!AD91,0)</x:f>
        <x:v>0</x:v>
      </x:c>
      <x:c r="AQ91" s="15" t="n">
        <x:f>IFERROR(='입력데이터'!AC91,0)*10</x:f>
        <x:v>0</x:v>
      </x:c>
      <x:c r="AR91" s="15" t="n">
        <x:f>IFERROR(='입력데이터'!AD91,0)*7+IFERROR(='입력데이터'!AH91,0)*2</x:f>
        <x:v>0</x:v>
      </x:c>
      <x:c r="AS91" s="15" t="n">
        <x:f>IFERROR(='입력데이터'!AH91,0)*8+IFERROR(='입력데이터'!AD91,0)*2+IFERROR(='입력데이터'!AI91,0)*4</x:f>
        <x:v>0</x:v>
      </x:c>
      <x:c r="AT91" s="16" t="n">
        <x:f>IFERROR(='입력데이터'!AG91,0)*8+IFERROR(='입력데이터'!AI91,0)*5+IFERROR(='입력데이터'!AU91,0)*4</x:f>
        <x:v>0</x:v>
      </x:c>
    </x:row>
    <x:row r="92">
      <x:c r="A92" s="14" t="str">
        <x:f>IF('입력데이터'!$B92="","",'입력데이터'!A92)</x:f>
      </x:c>
      <x:c r="B92" s="15" t="str">
        <x:f>IF('입력데이터'!$B92="","",'입력데이터'!B92)</x:f>
      </x:c>
      <x:c r="C92" s="15" t="str">
        <x:f>IF('입력데이터'!$B92="","",'입력데이터'!K92)</x:f>
      </x:c>
      <x:c r="D92" s="15" t="str">
        <x:f>IF('입력데이터'!$B92="","",'입력데이터'!H92)</x:f>
      </x:c>
      <x:c r="E92" s="15" t="str">
        <x:f>IF('입력데이터'!$B92="","",'입력데이터'!I92)</x:f>
      </x:c>
      <x:c r="F92" s="15" t="str">
        <x:f>IF('입력데이터'!$B92="","",'입력데이터'!J92)</x:f>
      </x:c>
      <x:c r="G92" s="15" t="str">
        <x:f>IF('입력데이터'!$B92="","",'입력데이터'!L92)</x:f>
      </x:c>
      <x:c r="H92" s="15" t="str">
        <x:f>IF('입력데이터'!$B92="","",'입력데이터'!O92)</x:f>
      </x:c>
      <x:c r="I92" s="20" t="str">
        <x:f>IF($B92="", "", ROUND(MAX(30, MIN(99, IFERROR((AE92-MIN($AE$2:$AE$101))/(MAX($AE$2:$AE$101)-MIN($AE$2:$AE$101))*99,30))),0))</x:f>
      </x:c>
      <x:c r="J92" s="20" t="str">
        <x:f>IF($B92="", "", ROUND(MAX(30, MIN(99, IFERROR((AF92-MIN($AF$2:$AF$101))/(MAX($AF$2:$AF$101)-MIN($AF$2:$AF$101))*99,30))),0))</x:f>
      </x:c>
      <x:c r="K92" s="20" t="str">
        <x:f>IF($B92="", "", ROUND(MAX(30, MIN(99, IFERROR((AG92-MIN($AG$2:$AG$101))/(MAX($AG$2:$AG$101)-MIN($AG$2:$AG$101))*99,30))),0))</x:f>
      </x:c>
      <x:c r="L92" s="20" t="str">
        <x:f>IF($B92="", "", ROUND(MAX(30, MIN(99, IFERROR((AH92-MIN($AH$2:$AH$101))/(MAX($AH$2:$AH$101)-MIN($AH$2:$AH$101))*99,30))),0))</x:f>
      </x:c>
      <x:c r="M92" s="20" t="str">
        <x:f>IF($B92="", "", ROUND(MAX(30, MIN(99, IFERROR((AI92-MIN($AI$2:$AI$101))/(MAX($AI$2:$AI$101)-MIN($AI$2:$AI$101))*99,30))),0))</x:f>
      </x:c>
      <x:c r="N92" s="20" t="str">
        <x:f>IF($B92="", "", ROUND(MAX(30, MIN(99, IFERROR((AJ92-MIN($AJ$2:$AJ$101))/(MAX($AJ$2:$AJ$101)-MIN($AJ$2:$AJ$101))*99,30))),0))</x:f>
      </x:c>
      <x:c r="O92" s="20" t="str">
        <x:f>IF($B92="", "", ROUND(MAX(30, MIN(99, IFERROR((AK92-MIN($AK$2:$AK$101))/(MAX($AK$2:$AK$101)-MIN($AK$2:$AK$101))*99,30))),0))</x:f>
      </x:c>
      <x:c r="P92" s="20" t="str">
        <x:f>IF($B92="", "", ROUND(MAX(30, MIN(99, IFERROR((AL92-MIN($AL$2:$AL$101))/(MAX($AL$2:$AL$101)-MIN($AL$2:$AL$101))*99,30))),0))</x:f>
      </x:c>
      <x:c r="Q92" s="20" t="str">
        <x:f>IF($B92="", "", ROUND(MAX(30, MIN(99, IFERROR((AM92-MIN($AM$2:$AM$101))/(MAX($AM$2:$AM$101)-MIN($AM$2:$AM$101))*99,30))),0))</x:f>
      </x:c>
      <x:c r="R92" s="20" t="str">
        <x:f>IF($B92="", "", ROUND(MAX(30, MIN(99, IFERROR((AN92-MIN($AN$2:$AN$101))/(MAX($AN$2:$AN$101)-MIN($AN$2:$AN$101))*99,30))),0))</x:f>
      </x:c>
      <x:c r="S92" s="20" t="str">
        <x:f>IF($B92="", "", ROUND(MAX(30, MIN(99, IFERROR((AO92-MIN($AO$2:$AO$101))/(MAX($AO$2:$AO$101)-MIN($AO$2:$AO$101))*99,30))),0))</x:f>
      </x:c>
      <x:c r="T92" s="20" t="str">
        <x:f>IF($B92="", "", ROUND(MAX(30, MIN(99, IFERROR((AP92-MIN($AP$2:$AP$101))/(MAX($AP$2:$AP$101)-MIN($AP$2:$AP$101))*99,30))),0))</x:f>
      </x:c>
      <x:c r="U92" s="20" t="str">
        <x:f>IF($B92="", "", ROUND(MAX(30, MIN(99, IFERROR((AQ92-MIN($AQ$2:$AQ$101))/(MAX($AQ$2:$AQ$101)-MIN($AQ$2:$AQ$101))*99,30))),0))</x:f>
      </x:c>
      <x:c r="V92" s="20" t="str">
        <x:f>IF($B92="", "", ROUND(MAX(30, MIN(99, IFERROR((AR92-MIN($AR$2:$AR$101))/(MAX($AR$2:$AR$101)-MIN($AR$2:$AR$101))*99,30))),0))</x:f>
      </x:c>
      <x:c r="W92" s="20" t="str">
        <x:f>IF($B92="", "", ROUND(MAX(30, MIN(99, IFERROR((AS92-MIN($AS$2:$AS$101))/(MAX($AS$2:$AS$101)-MIN($AS$2:$AS$101))*99,30))),0))</x:f>
      </x:c>
      <x:c r="X92" s="20" t="str">
        <x:f>IF($B92="", "", ROUND(MAX(30, MIN(99, IFERROR((AT92-MIN($AT$2:$AT$101))/(MAX($AT$2:$AT$101)-MIN($AT$2:$AT$101))*99,30))),0))</x:f>
      </x:c>
      <x:c r="Y92" s="20" t="str">
        <x:f>IF($B92="","",ROUND(AVERAGE(I92:X92),0))</x:f>
      </x:c>
      <x:c r="Z92" s="20" t="str">
        <x:f>IF($B92="","",ROUND(MAX(30,MIN(99,IFS(ISNUMBER(SEARCH("PG",UPPER(SUBSTITUTE($C92,"/","-")))),84,ISNUMBER(SEARCH("SG",UPPER(SUBSTITUTE($C92,"/","-")))),76,ISNUMBER(SEARCH("SF",UPPER(SUBSTITUTE($C92,"/","-")))),68,ISNUMBER(SEARCH("PF",UPPER(SUBSTITUTE($C92,"/","-")))),55,ISNUMBER(SEARCH("C",UPPER(SUBSTITUTE($C92,"/","-")))),42,TRUE,65)+((195-IFERROR($D92,195))*0.15)+((95-IFERROR($E92,95))*0.08))),0))</x:f>
      </x:c>
      <x:c r="AA92" s="20" t="str">
        <x:f>IF($B92="","",ROUND(MAX(30,MIN(99,IFS(ISNUMBER(SEARCH("PG",UPPER(SUBSTITUTE($C92,"/","-")))),84,ISNUMBER(SEARCH("SG",UPPER(SUBSTITUTE($C92,"/","-")))),76,ISNUMBER(SEARCH("SF",UPPER(SUBSTITUTE($C92,"/","-")))),68,ISNUMBER(SEARCH("PF",UPPER(SUBSTITUTE($C92,"/","-")))),55,ISNUMBER(SEARCH("C",UPPER(SUBSTITUTE($C92,"/","-")))),42,TRUE,65)+((195-IFERROR($D92,195))*0.18)+((95-IFERROR($E92,95))*0.10))),0))</x:f>
      </x:c>
      <x:c r="AB92" s="20" t="str">
        <x:f>IF($B92="","",ROUND(MAX(30,MIN(99,IFS(ISNUMBER(SEARCH("PG",UPPER(SUBSTITUTE($C92,"/","-")))),84,ISNUMBER(SEARCH("SG",UPPER(SUBSTITUTE($C92,"/","-")))),76,ISNUMBER(SEARCH("SF",UPPER(SUBSTITUTE($C92,"/","-")))),68,ISNUMBER(SEARCH("PF",UPPER(SUBSTITUTE($C92,"/","-")))),55,ISNUMBER(SEARCH("C",UPPER(SUBSTITUTE($C92,"/","-")))),42,TRUE,65)+2+((195-IFERROR($D92,195))*0.14)+((95-IFERROR($E92,95))*0.09))),0))</x:f>
      </x:c>
      <x:c r="AC92" s="20" t="str">
        <x:f>IF($B92="","",ROUND(MAX(30,MIN(99,IFS(ISNUMBER(SEARCH("C",UPPER(SUBSTITUTE($C92,"/","-")))),92,ISNUMBER(SEARCH("PF",UPPER(SUBSTITUTE($C92,"/","-")))),82,ISNUMBER(SEARCH("SF",UPPER(SUBSTITUTE($C92,"/","-")))),64,ISNUMBER(SEARCH("SG",UPPER(SUBSTITUTE($C92,"/","-")))),48,ISNUMBER(SEARCH("PG",UPPER(SUBSTITUTE($C92,"/","-")))),36,TRUE,60)+((IFERROR($E92,95)-95)*0.45)+((IFERROR($D92,195)-195)*0.10)+((IFERROR($F92,200)-200)*0.08))),0))</x:f>
      </x:c>
      <x:c r="AD92" s="20" t="str">
        <x:f>IF($B92="","",ROUND(MAX(30,MIN(99,65+((IFERROR($F92,200)-200)*0.22)+((IFERROR($D92,195)-195)*0.08)-((IFERROR($E92,95)-95)*0.07))),0))</x:f>
      </x:c>
      <x:c r="AE92" s="15" t="n">
        <x:f>IFERROR(='입력데이터'!S92,0)*0.4+IFERROR(='입력데이터'!AP92,0)*0.4+IFERROR(='입력데이터'!AO92,0)*0.5</x:f>
        <x:v>0</x:v>
      </x:c>
      <x:c r="AF92" s="15" t="n">
        <x:f>IFERROR(='입력데이터'!S92,0)*0.5+IFERROR(='입력데이터'!P92,0)*0.8+IFERROR(='입력데이터'!AG92,0)</x:f>
        <x:v>0</x:v>
      </x:c>
      <x:c r="AG92" s="15" t="n">
        <x:f>IFERROR(='입력데이터'!AJ92,0)*8+IFERROR(IFERROR(='입력데이터'!AJ92,0)/IFERROR(='입력데이터'!AK92,0),0)*30</x:f>
        <x:v>0</x:v>
      </x:c>
      <x:c r="AH92" s="15" t="n">
        <x:f>IFERROR(='입력데이터'!AJ92,0)*6+IFERROR(='입력데이터'!AH92,0)*4</x:f>
        <x:v>0</x:v>
      </x:c>
      <x:c r="AI92" s="15" t="n">
        <x:f>IFERROR(='입력데이터'!AP92,0)*0.4+IFERROR(='입력데이터'!AE92,0)*1.5+IFERROR(='입력데이터'!Q92,0)*1.5</x:f>
        <x:v>0</x:v>
      </x:c>
      <x:c r="AJ92" s="15" t="n">
        <x:f>MAX(0,IFERROR(='입력데이터'!P92,0)-IFERROR(='입력데이터'!Q92,0)*2-IFERROR(='입력데이터'!T92,0)*3-IFERROR(='입력데이터'!Z92,0))*1.5+IFERROR(='입력데이터'!Y92,0)*0.3</x:f>
        <x:v>0</x:v>
      </x:c>
      <x:c r="AK92" s="15" t="n">
        <x:f>IFERROR(='입력데이터'!V92,0)*0.6+IFERROR(='입력데이터'!U92,0)*2+IFERROR(='입력데이터'!T92,0)*3</x:f>
        <x:v>0</x:v>
      </x:c>
      <x:c r="AL92" s="15" t="n">
        <x:f>IFERROR(='입력데이터'!AB92,0)*0.7+IFERROR(='입력데이터'!AA92,0)*1.5</x:f>
        <x:v>0</x:v>
      </x:c>
      <x:c r="AM92" s="15" t="n">
        <x:f>IFERROR(='입력데이터'!AF92,0)*5+IFERROR(IFERROR(='입력데이터'!AF92,0)/IFERROR(='입력데이터'!AL92,0),0)*3+IFERROR(='입력데이터'!AT92,0)</x:f>
        <x:v>0</x:v>
      </x:c>
      <x:c r="AN92" s="15" t="n">
        <x:f>IFERROR(='입력데이터'!AF92,0)*3+IFERROR(='입력데이터'!AG92,0)*3+IFERROR(IFERROR(='입력데이터'!AF92,0)/IFERROR(='입력데이터'!AL92,0),0)*4</x:f>
        <x:v>0</x:v>
      </x:c>
      <x:c r="AO92" s="15" t="n">
        <x:f>IFERROR(='입력데이터'!AG92,0)*12+IFERROR(='입력데이터'!AU92,0)*6</x:f>
        <x:v>0</x:v>
      </x:c>
      <x:c r="AP92" s="15" t="n">
        <x:f>IFERROR(='입력데이터'!AH92,0)*14+IFERROR(='입력데이터'!AD92,0)</x:f>
        <x:v>0</x:v>
      </x:c>
      <x:c r="AQ92" s="15" t="n">
        <x:f>IFERROR(='입력데이터'!AC92,0)*10</x:f>
        <x:v>0</x:v>
      </x:c>
      <x:c r="AR92" s="15" t="n">
        <x:f>IFERROR(='입력데이터'!AD92,0)*7+IFERROR(='입력데이터'!AH92,0)*2</x:f>
        <x:v>0</x:v>
      </x:c>
      <x:c r="AS92" s="15" t="n">
        <x:f>IFERROR(='입력데이터'!AH92,0)*8+IFERROR(='입력데이터'!AD92,0)*2+IFERROR(='입력데이터'!AI92,0)*4</x:f>
        <x:v>0</x:v>
      </x:c>
      <x:c r="AT92" s="16" t="n">
        <x:f>IFERROR(='입력데이터'!AG92,0)*8+IFERROR(='입력데이터'!AI92,0)*5+IFERROR(='입력데이터'!AU92,0)*4</x:f>
        <x:v>0</x:v>
      </x:c>
    </x:row>
    <x:row r="93">
      <x:c r="A93" s="14" t="str">
        <x:f>IF('입력데이터'!$B93="","",'입력데이터'!A93)</x:f>
      </x:c>
      <x:c r="B93" s="15" t="str">
        <x:f>IF('입력데이터'!$B93="","",'입력데이터'!B93)</x:f>
      </x:c>
      <x:c r="C93" s="15" t="str">
        <x:f>IF('입력데이터'!$B93="","",'입력데이터'!K93)</x:f>
      </x:c>
      <x:c r="D93" s="15" t="str">
        <x:f>IF('입력데이터'!$B93="","",'입력데이터'!H93)</x:f>
      </x:c>
      <x:c r="E93" s="15" t="str">
        <x:f>IF('입력데이터'!$B93="","",'입력데이터'!I93)</x:f>
      </x:c>
      <x:c r="F93" s="15" t="str">
        <x:f>IF('입력데이터'!$B93="","",'입력데이터'!J93)</x:f>
      </x:c>
      <x:c r="G93" s="15" t="str">
        <x:f>IF('입력데이터'!$B93="","",'입력데이터'!L93)</x:f>
      </x:c>
      <x:c r="H93" s="15" t="str">
        <x:f>IF('입력데이터'!$B93="","",'입력데이터'!O93)</x:f>
      </x:c>
      <x:c r="I93" s="20" t="str">
        <x:f>IF($B93="", "", ROUND(MAX(30, MIN(99, IFERROR((AE93-MIN($AE$2:$AE$101))/(MAX($AE$2:$AE$101)-MIN($AE$2:$AE$101))*99,30))),0))</x:f>
      </x:c>
      <x:c r="J93" s="20" t="str">
        <x:f>IF($B93="", "", ROUND(MAX(30, MIN(99, IFERROR((AF93-MIN($AF$2:$AF$101))/(MAX($AF$2:$AF$101)-MIN($AF$2:$AF$101))*99,30))),0))</x:f>
      </x:c>
      <x:c r="K93" s="20" t="str">
        <x:f>IF($B93="", "", ROUND(MAX(30, MIN(99, IFERROR((AG93-MIN($AG$2:$AG$101))/(MAX($AG$2:$AG$101)-MIN($AG$2:$AG$101))*99,30))),0))</x:f>
      </x:c>
      <x:c r="L93" s="20" t="str">
        <x:f>IF($B93="", "", ROUND(MAX(30, MIN(99, IFERROR((AH93-MIN($AH$2:$AH$101))/(MAX($AH$2:$AH$101)-MIN($AH$2:$AH$101))*99,30))),0))</x:f>
      </x:c>
      <x:c r="M93" s="20" t="str">
        <x:f>IF($B93="", "", ROUND(MAX(30, MIN(99, IFERROR((AI93-MIN($AI$2:$AI$101))/(MAX($AI$2:$AI$101)-MIN($AI$2:$AI$101))*99,30))),0))</x:f>
      </x:c>
      <x:c r="N93" s="20" t="str">
        <x:f>IF($B93="", "", ROUND(MAX(30, MIN(99, IFERROR((AJ93-MIN($AJ$2:$AJ$101))/(MAX($AJ$2:$AJ$101)-MIN($AJ$2:$AJ$101))*99,30))),0))</x:f>
      </x:c>
      <x:c r="O93" s="20" t="str">
        <x:f>IF($B93="", "", ROUND(MAX(30, MIN(99, IFERROR((AK93-MIN($AK$2:$AK$101))/(MAX($AK$2:$AK$101)-MIN($AK$2:$AK$101))*99,30))),0))</x:f>
      </x:c>
      <x:c r="P93" s="20" t="str">
        <x:f>IF($B93="", "", ROUND(MAX(30, MIN(99, IFERROR((AL93-MIN($AL$2:$AL$101))/(MAX($AL$2:$AL$101)-MIN($AL$2:$AL$101))*99,30))),0))</x:f>
      </x:c>
      <x:c r="Q93" s="20" t="str">
        <x:f>IF($B93="", "", ROUND(MAX(30, MIN(99, IFERROR((AM93-MIN($AM$2:$AM$101))/(MAX($AM$2:$AM$101)-MIN($AM$2:$AM$101))*99,30))),0))</x:f>
      </x:c>
      <x:c r="R93" s="20" t="str">
        <x:f>IF($B93="", "", ROUND(MAX(30, MIN(99, IFERROR((AN93-MIN($AN$2:$AN$101))/(MAX($AN$2:$AN$101)-MIN($AN$2:$AN$101))*99,30))),0))</x:f>
      </x:c>
      <x:c r="S93" s="20" t="str">
        <x:f>IF($B93="", "", ROUND(MAX(30, MIN(99, IFERROR((AO93-MIN($AO$2:$AO$101))/(MAX($AO$2:$AO$101)-MIN($AO$2:$AO$101))*99,30))),0))</x:f>
      </x:c>
      <x:c r="T93" s="20" t="str">
        <x:f>IF($B93="", "", ROUND(MAX(30, MIN(99, IFERROR((AP93-MIN($AP$2:$AP$101))/(MAX($AP$2:$AP$101)-MIN($AP$2:$AP$101))*99,30))),0))</x:f>
      </x:c>
      <x:c r="U93" s="20" t="str">
        <x:f>IF($B93="", "", ROUND(MAX(30, MIN(99, IFERROR((AQ93-MIN($AQ$2:$AQ$101))/(MAX($AQ$2:$AQ$101)-MIN($AQ$2:$AQ$101))*99,30))),0))</x:f>
      </x:c>
      <x:c r="V93" s="20" t="str">
        <x:f>IF($B93="", "", ROUND(MAX(30, MIN(99, IFERROR((AR93-MIN($AR$2:$AR$101))/(MAX($AR$2:$AR$101)-MIN($AR$2:$AR$101))*99,30))),0))</x:f>
      </x:c>
      <x:c r="W93" s="20" t="str">
        <x:f>IF($B93="", "", ROUND(MAX(30, MIN(99, IFERROR((AS93-MIN($AS$2:$AS$101))/(MAX($AS$2:$AS$101)-MIN($AS$2:$AS$101))*99,30))),0))</x:f>
      </x:c>
      <x:c r="X93" s="20" t="str">
        <x:f>IF($B93="", "", ROUND(MAX(30, MIN(99, IFERROR((AT93-MIN($AT$2:$AT$101))/(MAX($AT$2:$AT$101)-MIN($AT$2:$AT$101))*99,30))),0))</x:f>
      </x:c>
      <x:c r="Y93" s="20" t="str">
        <x:f>IF($B93="","",ROUND(AVERAGE(I93:X93),0))</x:f>
      </x:c>
      <x:c r="Z93" s="20" t="str">
        <x:f>IF($B93="","",ROUND(MAX(30,MIN(99,IFS(ISNUMBER(SEARCH("PG",UPPER(SUBSTITUTE($C93,"/","-")))),84,ISNUMBER(SEARCH("SG",UPPER(SUBSTITUTE($C93,"/","-")))),76,ISNUMBER(SEARCH("SF",UPPER(SUBSTITUTE($C93,"/","-")))),68,ISNUMBER(SEARCH("PF",UPPER(SUBSTITUTE($C93,"/","-")))),55,ISNUMBER(SEARCH("C",UPPER(SUBSTITUTE($C93,"/","-")))),42,TRUE,65)+((195-IFERROR($D93,195))*0.15)+((95-IFERROR($E93,95))*0.08))),0))</x:f>
      </x:c>
      <x:c r="AA93" s="20" t="str">
        <x:f>IF($B93="","",ROUND(MAX(30,MIN(99,IFS(ISNUMBER(SEARCH("PG",UPPER(SUBSTITUTE($C93,"/","-")))),84,ISNUMBER(SEARCH("SG",UPPER(SUBSTITUTE($C93,"/","-")))),76,ISNUMBER(SEARCH("SF",UPPER(SUBSTITUTE($C93,"/","-")))),68,ISNUMBER(SEARCH("PF",UPPER(SUBSTITUTE($C93,"/","-")))),55,ISNUMBER(SEARCH("C",UPPER(SUBSTITUTE($C93,"/","-")))),42,TRUE,65)+((195-IFERROR($D93,195))*0.18)+((95-IFERROR($E93,95))*0.10))),0))</x:f>
      </x:c>
      <x:c r="AB93" s="20" t="str">
        <x:f>IF($B93="","",ROUND(MAX(30,MIN(99,IFS(ISNUMBER(SEARCH("PG",UPPER(SUBSTITUTE($C93,"/","-")))),84,ISNUMBER(SEARCH("SG",UPPER(SUBSTITUTE($C93,"/","-")))),76,ISNUMBER(SEARCH("SF",UPPER(SUBSTITUTE($C93,"/","-")))),68,ISNUMBER(SEARCH("PF",UPPER(SUBSTITUTE($C93,"/","-")))),55,ISNUMBER(SEARCH("C",UPPER(SUBSTITUTE($C93,"/","-")))),42,TRUE,65)+2+((195-IFERROR($D93,195))*0.14)+((95-IFERROR($E93,95))*0.09))),0))</x:f>
      </x:c>
      <x:c r="AC93" s="20" t="str">
        <x:f>IF($B93="","",ROUND(MAX(30,MIN(99,IFS(ISNUMBER(SEARCH("C",UPPER(SUBSTITUTE($C93,"/","-")))),92,ISNUMBER(SEARCH("PF",UPPER(SUBSTITUTE($C93,"/","-")))),82,ISNUMBER(SEARCH("SF",UPPER(SUBSTITUTE($C93,"/","-")))),64,ISNUMBER(SEARCH("SG",UPPER(SUBSTITUTE($C93,"/","-")))),48,ISNUMBER(SEARCH("PG",UPPER(SUBSTITUTE($C93,"/","-")))),36,TRUE,60)+((IFERROR($E93,95)-95)*0.45)+((IFERROR($D93,195)-195)*0.10)+((IFERROR($F93,200)-200)*0.08))),0))</x:f>
      </x:c>
      <x:c r="AD93" s="20" t="str">
        <x:f>IF($B93="","",ROUND(MAX(30,MIN(99,65+((IFERROR($F93,200)-200)*0.22)+((IFERROR($D93,195)-195)*0.08)-((IFERROR($E93,95)-95)*0.07))),0))</x:f>
      </x:c>
      <x:c r="AE93" s="15" t="n">
        <x:f>IFERROR(='입력데이터'!S93,0)*0.4+IFERROR(='입력데이터'!AP93,0)*0.4+IFERROR(='입력데이터'!AO93,0)*0.5</x:f>
        <x:v>0</x:v>
      </x:c>
      <x:c r="AF93" s="15" t="n">
        <x:f>IFERROR(='입력데이터'!S93,0)*0.5+IFERROR(='입력데이터'!P93,0)*0.8+IFERROR(='입력데이터'!AG93,0)</x:f>
        <x:v>0</x:v>
      </x:c>
      <x:c r="AG93" s="15" t="n">
        <x:f>IFERROR(='입력데이터'!AJ93,0)*8+IFERROR(IFERROR(='입력데이터'!AJ93,0)/IFERROR(='입력데이터'!AK93,0),0)*30</x:f>
        <x:v>0</x:v>
      </x:c>
      <x:c r="AH93" s="15" t="n">
        <x:f>IFERROR(='입력데이터'!AJ93,0)*6+IFERROR(='입력데이터'!AH93,0)*4</x:f>
        <x:v>0</x:v>
      </x:c>
      <x:c r="AI93" s="15" t="n">
        <x:f>IFERROR(='입력데이터'!AP93,0)*0.4+IFERROR(='입력데이터'!AE93,0)*1.5+IFERROR(='입력데이터'!Q93,0)*1.5</x:f>
        <x:v>0</x:v>
      </x:c>
      <x:c r="AJ93" s="15" t="n">
        <x:f>MAX(0,IFERROR(='입력데이터'!P93,0)-IFERROR(='입력데이터'!Q93,0)*2-IFERROR(='입력데이터'!T93,0)*3-IFERROR(='입력데이터'!Z93,0))*1.5+IFERROR(='입력데이터'!Y93,0)*0.3</x:f>
        <x:v>0</x:v>
      </x:c>
      <x:c r="AK93" s="15" t="n">
        <x:f>IFERROR(='입력데이터'!V93,0)*0.6+IFERROR(='입력데이터'!U93,0)*2+IFERROR(='입력데이터'!T93,0)*3</x:f>
        <x:v>0</x:v>
      </x:c>
      <x:c r="AL93" s="15" t="n">
        <x:f>IFERROR(='입력데이터'!AB93,0)*0.7+IFERROR(='입력데이터'!AA93,0)*1.5</x:f>
        <x:v>0</x:v>
      </x:c>
      <x:c r="AM93" s="15" t="n">
        <x:f>IFERROR(='입력데이터'!AF93,0)*5+IFERROR(IFERROR(='입력데이터'!AF93,0)/IFERROR(='입력데이터'!AL93,0),0)*3+IFERROR(='입력데이터'!AT93,0)</x:f>
        <x:v>0</x:v>
      </x:c>
      <x:c r="AN93" s="15" t="n">
        <x:f>IFERROR(='입력데이터'!AF93,0)*3+IFERROR(='입력데이터'!AG93,0)*3+IFERROR(IFERROR(='입력데이터'!AF93,0)/IFERROR(='입력데이터'!AL93,0),0)*4</x:f>
        <x:v>0</x:v>
      </x:c>
      <x:c r="AO93" s="15" t="n">
        <x:f>IFERROR(='입력데이터'!AG93,0)*12+IFERROR(='입력데이터'!AU93,0)*6</x:f>
        <x:v>0</x:v>
      </x:c>
      <x:c r="AP93" s="15" t="n">
        <x:f>IFERROR(='입력데이터'!AH93,0)*14+IFERROR(='입력데이터'!AD93,0)</x:f>
        <x:v>0</x:v>
      </x:c>
      <x:c r="AQ93" s="15" t="n">
        <x:f>IFERROR(='입력데이터'!AC93,0)*10</x:f>
        <x:v>0</x:v>
      </x:c>
      <x:c r="AR93" s="15" t="n">
        <x:f>IFERROR(='입력데이터'!AD93,0)*7+IFERROR(='입력데이터'!AH93,0)*2</x:f>
        <x:v>0</x:v>
      </x:c>
      <x:c r="AS93" s="15" t="n">
        <x:f>IFERROR(='입력데이터'!AH93,0)*8+IFERROR(='입력데이터'!AD93,0)*2+IFERROR(='입력데이터'!AI93,0)*4</x:f>
        <x:v>0</x:v>
      </x:c>
      <x:c r="AT93" s="16" t="n">
        <x:f>IFERROR(='입력데이터'!AG93,0)*8+IFERROR(='입력데이터'!AI93,0)*5+IFERROR(='입력데이터'!AU93,0)*4</x:f>
        <x:v>0</x:v>
      </x:c>
    </x:row>
    <x:row r="94">
      <x:c r="A94" s="14" t="str">
        <x:f>IF('입력데이터'!$B94="","",'입력데이터'!A94)</x:f>
      </x:c>
      <x:c r="B94" s="15" t="str">
        <x:f>IF('입력데이터'!$B94="","",'입력데이터'!B94)</x:f>
      </x:c>
      <x:c r="C94" s="15" t="str">
        <x:f>IF('입력데이터'!$B94="","",'입력데이터'!K94)</x:f>
      </x:c>
      <x:c r="D94" s="15" t="str">
        <x:f>IF('입력데이터'!$B94="","",'입력데이터'!H94)</x:f>
      </x:c>
      <x:c r="E94" s="15" t="str">
        <x:f>IF('입력데이터'!$B94="","",'입력데이터'!I94)</x:f>
      </x:c>
      <x:c r="F94" s="15" t="str">
        <x:f>IF('입력데이터'!$B94="","",'입력데이터'!J94)</x:f>
      </x:c>
      <x:c r="G94" s="15" t="str">
        <x:f>IF('입력데이터'!$B94="","",'입력데이터'!L94)</x:f>
      </x:c>
      <x:c r="H94" s="15" t="str">
        <x:f>IF('입력데이터'!$B94="","",'입력데이터'!O94)</x:f>
      </x:c>
      <x:c r="I94" s="20" t="str">
        <x:f>IF($B94="", "", ROUND(MAX(30, MIN(99, IFERROR((AE94-MIN($AE$2:$AE$101))/(MAX($AE$2:$AE$101)-MIN($AE$2:$AE$101))*99,30))),0))</x:f>
      </x:c>
      <x:c r="J94" s="20" t="str">
        <x:f>IF($B94="", "", ROUND(MAX(30, MIN(99, IFERROR((AF94-MIN($AF$2:$AF$101))/(MAX($AF$2:$AF$101)-MIN($AF$2:$AF$101))*99,30))),0))</x:f>
      </x:c>
      <x:c r="K94" s="20" t="str">
        <x:f>IF($B94="", "", ROUND(MAX(30, MIN(99, IFERROR((AG94-MIN($AG$2:$AG$101))/(MAX($AG$2:$AG$101)-MIN($AG$2:$AG$101))*99,30))),0))</x:f>
      </x:c>
      <x:c r="L94" s="20" t="str">
        <x:f>IF($B94="", "", ROUND(MAX(30, MIN(99, IFERROR((AH94-MIN($AH$2:$AH$101))/(MAX($AH$2:$AH$101)-MIN($AH$2:$AH$101))*99,30))),0))</x:f>
      </x:c>
      <x:c r="M94" s="20" t="str">
        <x:f>IF($B94="", "", ROUND(MAX(30, MIN(99, IFERROR((AI94-MIN($AI$2:$AI$101))/(MAX($AI$2:$AI$101)-MIN($AI$2:$AI$101))*99,30))),0))</x:f>
      </x:c>
      <x:c r="N94" s="20" t="str">
        <x:f>IF($B94="", "", ROUND(MAX(30, MIN(99, IFERROR((AJ94-MIN($AJ$2:$AJ$101))/(MAX($AJ$2:$AJ$101)-MIN($AJ$2:$AJ$101))*99,30))),0))</x:f>
      </x:c>
      <x:c r="O94" s="20" t="str">
        <x:f>IF($B94="", "", ROUND(MAX(30, MIN(99, IFERROR((AK94-MIN($AK$2:$AK$101))/(MAX($AK$2:$AK$101)-MIN($AK$2:$AK$101))*99,30))),0))</x:f>
      </x:c>
      <x:c r="P94" s="20" t="str">
        <x:f>IF($B94="", "", ROUND(MAX(30, MIN(99, IFERROR((AL94-MIN($AL$2:$AL$101))/(MAX($AL$2:$AL$101)-MIN($AL$2:$AL$101))*99,30))),0))</x:f>
      </x:c>
      <x:c r="Q94" s="20" t="str">
        <x:f>IF($B94="", "", ROUND(MAX(30, MIN(99, IFERROR((AM94-MIN($AM$2:$AM$101))/(MAX($AM$2:$AM$101)-MIN($AM$2:$AM$101))*99,30))),0))</x:f>
      </x:c>
      <x:c r="R94" s="20" t="str">
        <x:f>IF($B94="", "", ROUND(MAX(30, MIN(99, IFERROR((AN94-MIN($AN$2:$AN$101))/(MAX($AN$2:$AN$101)-MIN($AN$2:$AN$101))*99,30))),0))</x:f>
      </x:c>
      <x:c r="S94" s="20" t="str">
        <x:f>IF($B94="", "", ROUND(MAX(30, MIN(99, IFERROR((AO94-MIN($AO$2:$AO$101))/(MAX($AO$2:$AO$101)-MIN($AO$2:$AO$101))*99,30))),0))</x:f>
      </x:c>
      <x:c r="T94" s="20" t="str">
        <x:f>IF($B94="", "", ROUND(MAX(30, MIN(99, IFERROR((AP94-MIN($AP$2:$AP$101))/(MAX($AP$2:$AP$101)-MIN($AP$2:$AP$101))*99,30))),0))</x:f>
      </x:c>
      <x:c r="U94" s="20" t="str">
        <x:f>IF($B94="", "", ROUND(MAX(30, MIN(99, IFERROR((AQ94-MIN($AQ$2:$AQ$101))/(MAX($AQ$2:$AQ$101)-MIN($AQ$2:$AQ$101))*99,30))),0))</x:f>
      </x:c>
      <x:c r="V94" s="20" t="str">
        <x:f>IF($B94="", "", ROUND(MAX(30, MIN(99, IFERROR((AR94-MIN($AR$2:$AR$101))/(MAX($AR$2:$AR$101)-MIN($AR$2:$AR$101))*99,30))),0))</x:f>
      </x:c>
      <x:c r="W94" s="20" t="str">
        <x:f>IF($B94="", "", ROUND(MAX(30, MIN(99, IFERROR((AS94-MIN($AS$2:$AS$101))/(MAX($AS$2:$AS$101)-MIN($AS$2:$AS$101))*99,30))),0))</x:f>
      </x:c>
      <x:c r="X94" s="20" t="str">
        <x:f>IF($B94="", "", ROUND(MAX(30, MIN(99, IFERROR((AT94-MIN($AT$2:$AT$101))/(MAX($AT$2:$AT$101)-MIN($AT$2:$AT$101))*99,30))),0))</x:f>
      </x:c>
      <x:c r="Y94" s="20" t="str">
        <x:f>IF($B94="","",ROUND(AVERAGE(I94:X94),0))</x:f>
      </x:c>
      <x:c r="Z94" s="20" t="str">
        <x:f>IF($B94="","",ROUND(MAX(30,MIN(99,IFS(ISNUMBER(SEARCH("PG",UPPER(SUBSTITUTE($C94,"/","-")))),84,ISNUMBER(SEARCH("SG",UPPER(SUBSTITUTE($C94,"/","-")))),76,ISNUMBER(SEARCH("SF",UPPER(SUBSTITUTE($C94,"/","-")))),68,ISNUMBER(SEARCH("PF",UPPER(SUBSTITUTE($C94,"/","-")))),55,ISNUMBER(SEARCH("C",UPPER(SUBSTITUTE($C94,"/","-")))),42,TRUE,65)+((195-IFERROR($D94,195))*0.15)+((95-IFERROR($E94,95))*0.08))),0))</x:f>
      </x:c>
      <x:c r="AA94" s="20" t="str">
        <x:f>IF($B94="","",ROUND(MAX(30,MIN(99,IFS(ISNUMBER(SEARCH("PG",UPPER(SUBSTITUTE($C94,"/","-")))),84,ISNUMBER(SEARCH("SG",UPPER(SUBSTITUTE($C94,"/","-")))),76,ISNUMBER(SEARCH("SF",UPPER(SUBSTITUTE($C94,"/","-")))),68,ISNUMBER(SEARCH("PF",UPPER(SUBSTITUTE($C94,"/","-")))),55,ISNUMBER(SEARCH("C",UPPER(SUBSTITUTE($C94,"/","-")))),42,TRUE,65)+((195-IFERROR($D94,195))*0.18)+((95-IFERROR($E94,95))*0.10))),0))</x:f>
      </x:c>
      <x:c r="AB94" s="20" t="str">
        <x:f>IF($B94="","",ROUND(MAX(30,MIN(99,IFS(ISNUMBER(SEARCH("PG",UPPER(SUBSTITUTE($C94,"/","-")))),84,ISNUMBER(SEARCH("SG",UPPER(SUBSTITUTE($C94,"/","-")))),76,ISNUMBER(SEARCH("SF",UPPER(SUBSTITUTE($C94,"/","-")))),68,ISNUMBER(SEARCH("PF",UPPER(SUBSTITUTE($C94,"/","-")))),55,ISNUMBER(SEARCH("C",UPPER(SUBSTITUTE($C94,"/","-")))),42,TRUE,65)+2+((195-IFERROR($D94,195))*0.14)+((95-IFERROR($E94,95))*0.09))),0))</x:f>
      </x:c>
      <x:c r="AC94" s="20" t="str">
        <x:f>IF($B94="","",ROUND(MAX(30,MIN(99,IFS(ISNUMBER(SEARCH("C",UPPER(SUBSTITUTE($C94,"/","-")))),92,ISNUMBER(SEARCH("PF",UPPER(SUBSTITUTE($C94,"/","-")))),82,ISNUMBER(SEARCH("SF",UPPER(SUBSTITUTE($C94,"/","-")))),64,ISNUMBER(SEARCH("SG",UPPER(SUBSTITUTE($C94,"/","-")))),48,ISNUMBER(SEARCH("PG",UPPER(SUBSTITUTE($C94,"/","-")))),36,TRUE,60)+((IFERROR($E94,95)-95)*0.45)+((IFERROR($D94,195)-195)*0.10)+((IFERROR($F94,200)-200)*0.08))),0))</x:f>
      </x:c>
      <x:c r="AD94" s="20" t="str">
        <x:f>IF($B94="","",ROUND(MAX(30,MIN(99,65+((IFERROR($F94,200)-200)*0.22)+((IFERROR($D94,195)-195)*0.08)-((IFERROR($E94,95)-95)*0.07))),0))</x:f>
      </x:c>
      <x:c r="AE94" s="15" t="n">
        <x:f>IFERROR(='입력데이터'!S94,0)*0.4+IFERROR(='입력데이터'!AP94,0)*0.4+IFERROR(='입력데이터'!AO94,0)*0.5</x:f>
        <x:v>0</x:v>
      </x:c>
      <x:c r="AF94" s="15" t="n">
        <x:f>IFERROR(='입력데이터'!S94,0)*0.5+IFERROR(='입력데이터'!P94,0)*0.8+IFERROR(='입력데이터'!AG94,0)</x:f>
        <x:v>0</x:v>
      </x:c>
      <x:c r="AG94" s="15" t="n">
        <x:f>IFERROR(='입력데이터'!AJ94,0)*8+IFERROR(IFERROR(='입력데이터'!AJ94,0)/IFERROR(='입력데이터'!AK94,0),0)*30</x:f>
        <x:v>0</x:v>
      </x:c>
      <x:c r="AH94" s="15" t="n">
        <x:f>IFERROR(='입력데이터'!AJ94,0)*6+IFERROR(='입력데이터'!AH94,0)*4</x:f>
        <x:v>0</x:v>
      </x:c>
      <x:c r="AI94" s="15" t="n">
        <x:f>IFERROR(='입력데이터'!AP94,0)*0.4+IFERROR(='입력데이터'!AE94,0)*1.5+IFERROR(='입력데이터'!Q94,0)*1.5</x:f>
        <x:v>0</x:v>
      </x:c>
      <x:c r="AJ94" s="15" t="n">
        <x:f>MAX(0,IFERROR(='입력데이터'!P94,0)-IFERROR(='입력데이터'!Q94,0)*2-IFERROR(='입력데이터'!T94,0)*3-IFERROR(='입력데이터'!Z94,0))*1.5+IFERROR(='입력데이터'!Y94,0)*0.3</x:f>
        <x:v>0</x:v>
      </x:c>
      <x:c r="AK94" s="15" t="n">
        <x:f>IFERROR(='입력데이터'!V94,0)*0.6+IFERROR(='입력데이터'!U94,0)*2+IFERROR(='입력데이터'!T94,0)*3</x:f>
        <x:v>0</x:v>
      </x:c>
      <x:c r="AL94" s="15" t="n">
        <x:f>IFERROR(='입력데이터'!AB94,0)*0.7+IFERROR(='입력데이터'!AA94,0)*1.5</x:f>
        <x:v>0</x:v>
      </x:c>
      <x:c r="AM94" s="15" t="n">
        <x:f>IFERROR(='입력데이터'!AF94,0)*5+IFERROR(IFERROR(='입력데이터'!AF94,0)/IFERROR(='입력데이터'!AL94,0),0)*3+IFERROR(='입력데이터'!AT94,0)</x:f>
        <x:v>0</x:v>
      </x:c>
      <x:c r="AN94" s="15" t="n">
        <x:f>IFERROR(='입력데이터'!AF94,0)*3+IFERROR(='입력데이터'!AG94,0)*3+IFERROR(IFERROR(='입력데이터'!AF94,0)/IFERROR(='입력데이터'!AL94,0),0)*4</x:f>
        <x:v>0</x:v>
      </x:c>
      <x:c r="AO94" s="15" t="n">
        <x:f>IFERROR(='입력데이터'!AG94,0)*12+IFERROR(='입력데이터'!AU94,0)*6</x:f>
        <x:v>0</x:v>
      </x:c>
      <x:c r="AP94" s="15" t="n">
        <x:f>IFERROR(='입력데이터'!AH94,0)*14+IFERROR(='입력데이터'!AD94,0)</x:f>
        <x:v>0</x:v>
      </x:c>
      <x:c r="AQ94" s="15" t="n">
        <x:f>IFERROR(='입력데이터'!AC94,0)*10</x:f>
        <x:v>0</x:v>
      </x:c>
      <x:c r="AR94" s="15" t="n">
        <x:f>IFERROR(='입력데이터'!AD94,0)*7+IFERROR(='입력데이터'!AH94,0)*2</x:f>
        <x:v>0</x:v>
      </x:c>
      <x:c r="AS94" s="15" t="n">
        <x:f>IFERROR(='입력데이터'!AH94,0)*8+IFERROR(='입력데이터'!AD94,0)*2+IFERROR(='입력데이터'!AI94,0)*4</x:f>
        <x:v>0</x:v>
      </x:c>
      <x:c r="AT94" s="16" t="n">
        <x:f>IFERROR(='입력데이터'!AG94,0)*8+IFERROR(='입력데이터'!AI94,0)*5+IFERROR(='입력데이터'!AU94,0)*4</x:f>
        <x:v>0</x:v>
      </x:c>
    </x:row>
    <x:row r="95">
      <x:c r="A95" s="14" t="str">
        <x:f>IF('입력데이터'!$B95="","",'입력데이터'!A95)</x:f>
      </x:c>
      <x:c r="B95" s="15" t="str">
        <x:f>IF('입력데이터'!$B95="","",'입력데이터'!B95)</x:f>
      </x:c>
      <x:c r="C95" s="15" t="str">
        <x:f>IF('입력데이터'!$B95="","",'입력데이터'!K95)</x:f>
      </x:c>
      <x:c r="D95" s="15" t="str">
        <x:f>IF('입력데이터'!$B95="","",'입력데이터'!H95)</x:f>
      </x:c>
      <x:c r="E95" s="15" t="str">
        <x:f>IF('입력데이터'!$B95="","",'입력데이터'!I95)</x:f>
      </x:c>
      <x:c r="F95" s="15" t="str">
        <x:f>IF('입력데이터'!$B95="","",'입력데이터'!J95)</x:f>
      </x:c>
      <x:c r="G95" s="15" t="str">
        <x:f>IF('입력데이터'!$B95="","",'입력데이터'!L95)</x:f>
      </x:c>
      <x:c r="H95" s="15" t="str">
        <x:f>IF('입력데이터'!$B95="","",'입력데이터'!O95)</x:f>
      </x:c>
      <x:c r="I95" s="20" t="str">
        <x:f>IF($B95="", "", ROUND(MAX(30, MIN(99, IFERROR((AE95-MIN($AE$2:$AE$101))/(MAX($AE$2:$AE$101)-MIN($AE$2:$AE$101))*99,30))),0))</x:f>
      </x:c>
      <x:c r="J95" s="20" t="str">
        <x:f>IF($B95="", "", ROUND(MAX(30, MIN(99, IFERROR((AF95-MIN($AF$2:$AF$101))/(MAX($AF$2:$AF$101)-MIN($AF$2:$AF$101))*99,30))),0))</x:f>
      </x:c>
      <x:c r="K95" s="20" t="str">
        <x:f>IF($B95="", "", ROUND(MAX(30, MIN(99, IFERROR((AG95-MIN($AG$2:$AG$101))/(MAX($AG$2:$AG$101)-MIN($AG$2:$AG$101))*99,30))),0))</x:f>
      </x:c>
      <x:c r="L95" s="20" t="str">
        <x:f>IF($B95="", "", ROUND(MAX(30, MIN(99, IFERROR((AH95-MIN($AH$2:$AH$101))/(MAX($AH$2:$AH$101)-MIN($AH$2:$AH$101))*99,30))),0))</x:f>
      </x:c>
      <x:c r="M95" s="20" t="str">
        <x:f>IF($B95="", "", ROUND(MAX(30, MIN(99, IFERROR((AI95-MIN($AI$2:$AI$101))/(MAX($AI$2:$AI$101)-MIN($AI$2:$AI$101))*99,30))),0))</x:f>
      </x:c>
      <x:c r="N95" s="20" t="str">
        <x:f>IF($B95="", "", ROUND(MAX(30, MIN(99, IFERROR((AJ95-MIN($AJ$2:$AJ$101))/(MAX($AJ$2:$AJ$101)-MIN($AJ$2:$AJ$101))*99,30))),0))</x:f>
      </x:c>
      <x:c r="O95" s="20" t="str">
        <x:f>IF($B95="", "", ROUND(MAX(30, MIN(99, IFERROR((AK95-MIN($AK$2:$AK$101))/(MAX($AK$2:$AK$101)-MIN($AK$2:$AK$101))*99,30))),0))</x:f>
      </x:c>
      <x:c r="P95" s="20" t="str">
        <x:f>IF($B95="", "", ROUND(MAX(30, MIN(99, IFERROR((AL95-MIN($AL$2:$AL$101))/(MAX($AL$2:$AL$101)-MIN($AL$2:$AL$101))*99,30))),0))</x:f>
      </x:c>
      <x:c r="Q95" s="20" t="str">
        <x:f>IF($B95="", "", ROUND(MAX(30, MIN(99, IFERROR((AM95-MIN($AM$2:$AM$101))/(MAX($AM$2:$AM$101)-MIN($AM$2:$AM$101))*99,30))),0))</x:f>
      </x:c>
      <x:c r="R95" s="20" t="str">
        <x:f>IF($B95="", "", ROUND(MAX(30, MIN(99, IFERROR((AN95-MIN($AN$2:$AN$101))/(MAX($AN$2:$AN$101)-MIN($AN$2:$AN$101))*99,30))),0))</x:f>
      </x:c>
      <x:c r="S95" s="20" t="str">
        <x:f>IF($B95="", "", ROUND(MAX(30, MIN(99, IFERROR((AO95-MIN($AO$2:$AO$101))/(MAX($AO$2:$AO$101)-MIN($AO$2:$AO$101))*99,30))),0))</x:f>
      </x:c>
      <x:c r="T95" s="20" t="str">
        <x:f>IF($B95="", "", ROUND(MAX(30, MIN(99, IFERROR((AP95-MIN($AP$2:$AP$101))/(MAX($AP$2:$AP$101)-MIN($AP$2:$AP$101))*99,30))),0))</x:f>
      </x:c>
      <x:c r="U95" s="20" t="str">
        <x:f>IF($B95="", "", ROUND(MAX(30, MIN(99, IFERROR((AQ95-MIN($AQ$2:$AQ$101))/(MAX($AQ$2:$AQ$101)-MIN($AQ$2:$AQ$101))*99,30))),0))</x:f>
      </x:c>
      <x:c r="V95" s="20" t="str">
        <x:f>IF($B95="", "", ROUND(MAX(30, MIN(99, IFERROR((AR95-MIN($AR$2:$AR$101))/(MAX($AR$2:$AR$101)-MIN($AR$2:$AR$101))*99,30))),0))</x:f>
      </x:c>
      <x:c r="W95" s="20" t="str">
        <x:f>IF($B95="", "", ROUND(MAX(30, MIN(99, IFERROR((AS95-MIN($AS$2:$AS$101))/(MAX($AS$2:$AS$101)-MIN($AS$2:$AS$101))*99,30))),0))</x:f>
      </x:c>
      <x:c r="X95" s="20" t="str">
        <x:f>IF($B95="", "", ROUND(MAX(30, MIN(99, IFERROR((AT95-MIN($AT$2:$AT$101))/(MAX($AT$2:$AT$101)-MIN($AT$2:$AT$101))*99,30))),0))</x:f>
      </x:c>
      <x:c r="Y95" s="20" t="str">
        <x:f>IF($B95="","",ROUND(AVERAGE(I95:X95),0))</x:f>
      </x:c>
      <x:c r="Z95" s="20" t="str">
        <x:f>IF($B95="","",ROUND(MAX(30,MIN(99,IFS(ISNUMBER(SEARCH("PG",UPPER(SUBSTITUTE($C95,"/","-")))),84,ISNUMBER(SEARCH("SG",UPPER(SUBSTITUTE($C95,"/","-")))),76,ISNUMBER(SEARCH("SF",UPPER(SUBSTITUTE($C95,"/","-")))),68,ISNUMBER(SEARCH("PF",UPPER(SUBSTITUTE($C95,"/","-")))),55,ISNUMBER(SEARCH("C",UPPER(SUBSTITUTE($C95,"/","-")))),42,TRUE,65)+((195-IFERROR($D95,195))*0.15)+((95-IFERROR($E95,95))*0.08))),0))</x:f>
      </x:c>
      <x:c r="AA95" s="20" t="str">
        <x:f>IF($B95="","",ROUND(MAX(30,MIN(99,IFS(ISNUMBER(SEARCH("PG",UPPER(SUBSTITUTE($C95,"/","-")))),84,ISNUMBER(SEARCH("SG",UPPER(SUBSTITUTE($C95,"/","-")))),76,ISNUMBER(SEARCH("SF",UPPER(SUBSTITUTE($C95,"/","-")))),68,ISNUMBER(SEARCH("PF",UPPER(SUBSTITUTE($C95,"/","-")))),55,ISNUMBER(SEARCH("C",UPPER(SUBSTITUTE($C95,"/","-")))),42,TRUE,65)+((195-IFERROR($D95,195))*0.18)+((95-IFERROR($E95,95))*0.10))),0))</x:f>
      </x:c>
      <x:c r="AB95" s="20" t="str">
        <x:f>IF($B95="","",ROUND(MAX(30,MIN(99,IFS(ISNUMBER(SEARCH("PG",UPPER(SUBSTITUTE($C95,"/","-")))),84,ISNUMBER(SEARCH("SG",UPPER(SUBSTITUTE($C95,"/","-")))),76,ISNUMBER(SEARCH("SF",UPPER(SUBSTITUTE($C95,"/","-")))),68,ISNUMBER(SEARCH("PF",UPPER(SUBSTITUTE($C95,"/","-")))),55,ISNUMBER(SEARCH("C",UPPER(SUBSTITUTE($C95,"/","-")))),42,TRUE,65)+2+((195-IFERROR($D95,195))*0.14)+((95-IFERROR($E95,95))*0.09))),0))</x:f>
      </x:c>
      <x:c r="AC95" s="20" t="str">
        <x:f>IF($B95="","",ROUND(MAX(30,MIN(99,IFS(ISNUMBER(SEARCH("C",UPPER(SUBSTITUTE($C95,"/","-")))),92,ISNUMBER(SEARCH("PF",UPPER(SUBSTITUTE($C95,"/","-")))),82,ISNUMBER(SEARCH("SF",UPPER(SUBSTITUTE($C95,"/","-")))),64,ISNUMBER(SEARCH("SG",UPPER(SUBSTITUTE($C95,"/","-")))),48,ISNUMBER(SEARCH("PG",UPPER(SUBSTITUTE($C95,"/","-")))),36,TRUE,60)+((IFERROR($E95,95)-95)*0.45)+((IFERROR($D95,195)-195)*0.10)+((IFERROR($F95,200)-200)*0.08))),0))</x:f>
      </x:c>
      <x:c r="AD95" s="20" t="str">
        <x:f>IF($B95="","",ROUND(MAX(30,MIN(99,65+((IFERROR($F95,200)-200)*0.22)+((IFERROR($D95,195)-195)*0.08)-((IFERROR($E95,95)-95)*0.07))),0))</x:f>
      </x:c>
      <x:c r="AE95" s="15" t="n">
        <x:f>IFERROR(='입력데이터'!S95,0)*0.4+IFERROR(='입력데이터'!AP95,0)*0.4+IFERROR(='입력데이터'!AO95,0)*0.5</x:f>
        <x:v>0</x:v>
      </x:c>
      <x:c r="AF95" s="15" t="n">
        <x:f>IFERROR(='입력데이터'!S95,0)*0.5+IFERROR(='입력데이터'!P95,0)*0.8+IFERROR(='입력데이터'!AG95,0)</x:f>
        <x:v>0</x:v>
      </x:c>
      <x:c r="AG95" s="15" t="n">
        <x:f>IFERROR(='입력데이터'!AJ95,0)*8+IFERROR(IFERROR(='입력데이터'!AJ95,0)/IFERROR(='입력데이터'!AK95,0),0)*30</x:f>
        <x:v>0</x:v>
      </x:c>
      <x:c r="AH95" s="15" t="n">
        <x:f>IFERROR(='입력데이터'!AJ95,0)*6+IFERROR(='입력데이터'!AH95,0)*4</x:f>
        <x:v>0</x:v>
      </x:c>
      <x:c r="AI95" s="15" t="n">
        <x:f>IFERROR(='입력데이터'!AP95,0)*0.4+IFERROR(='입력데이터'!AE95,0)*1.5+IFERROR(='입력데이터'!Q95,0)*1.5</x:f>
        <x:v>0</x:v>
      </x:c>
      <x:c r="AJ95" s="15" t="n">
        <x:f>MAX(0,IFERROR(='입력데이터'!P95,0)-IFERROR(='입력데이터'!Q95,0)*2-IFERROR(='입력데이터'!T95,0)*3-IFERROR(='입력데이터'!Z95,0))*1.5+IFERROR(='입력데이터'!Y95,0)*0.3</x:f>
        <x:v>0</x:v>
      </x:c>
      <x:c r="AK95" s="15" t="n">
        <x:f>IFERROR(='입력데이터'!V95,0)*0.6+IFERROR(='입력데이터'!U95,0)*2+IFERROR(='입력데이터'!T95,0)*3</x:f>
        <x:v>0</x:v>
      </x:c>
      <x:c r="AL95" s="15" t="n">
        <x:f>IFERROR(='입력데이터'!AB95,0)*0.7+IFERROR(='입력데이터'!AA95,0)*1.5</x:f>
        <x:v>0</x:v>
      </x:c>
      <x:c r="AM95" s="15" t="n">
        <x:f>IFERROR(='입력데이터'!AF95,0)*5+IFERROR(IFERROR(='입력데이터'!AF95,0)/IFERROR(='입력데이터'!AL95,0),0)*3+IFERROR(='입력데이터'!AT95,0)</x:f>
        <x:v>0</x:v>
      </x:c>
      <x:c r="AN95" s="15" t="n">
        <x:f>IFERROR(='입력데이터'!AF95,0)*3+IFERROR(='입력데이터'!AG95,0)*3+IFERROR(IFERROR(='입력데이터'!AF95,0)/IFERROR(='입력데이터'!AL95,0),0)*4</x:f>
        <x:v>0</x:v>
      </x:c>
      <x:c r="AO95" s="15" t="n">
        <x:f>IFERROR(='입력데이터'!AG95,0)*12+IFERROR(='입력데이터'!AU95,0)*6</x:f>
        <x:v>0</x:v>
      </x:c>
      <x:c r="AP95" s="15" t="n">
        <x:f>IFERROR(='입력데이터'!AH95,0)*14+IFERROR(='입력데이터'!AD95,0)</x:f>
        <x:v>0</x:v>
      </x:c>
      <x:c r="AQ95" s="15" t="n">
        <x:f>IFERROR(='입력데이터'!AC95,0)*10</x:f>
        <x:v>0</x:v>
      </x:c>
      <x:c r="AR95" s="15" t="n">
        <x:f>IFERROR(='입력데이터'!AD95,0)*7+IFERROR(='입력데이터'!AH95,0)*2</x:f>
        <x:v>0</x:v>
      </x:c>
      <x:c r="AS95" s="15" t="n">
        <x:f>IFERROR(='입력데이터'!AH95,0)*8+IFERROR(='입력데이터'!AD95,0)*2+IFERROR(='입력데이터'!AI95,0)*4</x:f>
        <x:v>0</x:v>
      </x:c>
      <x:c r="AT95" s="16" t="n">
        <x:f>IFERROR(='입력데이터'!AG95,0)*8+IFERROR(='입력데이터'!AI95,0)*5+IFERROR(='입력데이터'!AU95,0)*4</x:f>
        <x:v>0</x:v>
      </x:c>
    </x:row>
    <x:row r="96">
      <x:c r="A96" s="14" t="str">
        <x:f>IF('입력데이터'!$B96="","",'입력데이터'!A96)</x:f>
      </x:c>
      <x:c r="B96" s="15" t="str">
        <x:f>IF('입력데이터'!$B96="","",'입력데이터'!B96)</x:f>
      </x:c>
      <x:c r="C96" s="15" t="str">
        <x:f>IF('입력데이터'!$B96="","",'입력데이터'!K96)</x:f>
      </x:c>
      <x:c r="D96" s="15" t="str">
        <x:f>IF('입력데이터'!$B96="","",'입력데이터'!H96)</x:f>
      </x:c>
      <x:c r="E96" s="15" t="str">
        <x:f>IF('입력데이터'!$B96="","",'입력데이터'!I96)</x:f>
      </x:c>
      <x:c r="F96" s="15" t="str">
        <x:f>IF('입력데이터'!$B96="","",'입력데이터'!J96)</x:f>
      </x:c>
      <x:c r="G96" s="15" t="str">
        <x:f>IF('입력데이터'!$B96="","",'입력데이터'!L96)</x:f>
      </x:c>
      <x:c r="H96" s="15" t="str">
        <x:f>IF('입력데이터'!$B96="","",'입력데이터'!O96)</x:f>
      </x:c>
      <x:c r="I96" s="20" t="str">
        <x:f>IF($B96="", "", ROUND(MAX(30, MIN(99, IFERROR((AE96-MIN($AE$2:$AE$101))/(MAX($AE$2:$AE$101)-MIN($AE$2:$AE$101))*99,30))),0))</x:f>
      </x:c>
      <x:c r="J96" s="20" t="str">
        <x:f>IF($B96="", "", ROUND(MAX(30, MIN(99, IFERROR((AF96-MIN($AF$2:$AF$101))/(MAX($AF$2:$AF$101)-MIN($AF$2:$AF$101))*99,30))),0))</x:f>
      </x:c>
      <x:c r="K96" s="20" t="str">
        <x:f>IF($B96="", "", ROUND(MAX(30, MIN(99, IFERROR((AG96-MIN($AG$2:$AG$101))/(MAX($AG$2:$AG$101)-MIN($AG$2:$AG$101))*99,30))),0))</x:f>
      </x:c>
      <x:c r="L96" s="20" t="str">
        <x:f>IF($B96="", "", ROUND(MAX(30, MIN(99, IFERROR((AH96-MIN($AH$2:$AH$101))/(MAX($AH$2:$AH$101)-MIN($AH$2:$AH$101))*99,30))),0))</x:f>
      </x:c>
      <x:c r="M96" s="20" t="str">
        <x:f>IF($B96="", "", ROUND(MAX(30, MIN(99, IFERROR((AI96-MIN($AI$2:$AI$101))/(MAX($AI$2:$AI$101)-MIN($AI$2:$AI$101))*99,30))),0))</x:f>
      </x:c>
      <x:c r="N96" s="20" t="str">
        <x:f>IF($B96="", "", ROUND(MAX(30, MIN(99, IFERROR((AJ96-MIN($AJ$2:$AJ$101))/(MAX($AJ$2:$AJ$101)-MIN($AJ$2:$AJ$101))*99,30))),0))</x:f>
      </x:c>
      <x:c r="O96" s="20" t="str">
        <x:f>IF($B96="", "", ROUND(MAX(30, MIN(99, IFERROR((AK96-MIN($AK$2:$AK$101))/(MAX($AK$2:$AK$101)-MIN($AK$2:$AK$101))*99,30))),0))</x:f>
      </x:c>
      <x:c r="P96" s="20" t="str">
        <x:f>IF($B96="", "", ROUND(MAX(30, MIN(99, IFERROR((AL96-MIN($AL$2:$AL$101))/(MAX($AL$2:$AL$101)-MIN($AL$2:$AL$101))*99,30))),0))</x:f>
      </x:c>
      <x:c r="Q96" s="20" t="str">
        <x:f>IF($B96="", "", ROUND(MAX(30, MIN(99, IFERROR((AM96-MIN($AM$2:$AM$101))/(MAX($AM$2:$AM$101)-MIN($AM$2:$AM$101))*99,30))),0))</x:f>
      </x:c>
      <x:c r="R96" s="20" t="str">
        <x:f>IF($B96="", "", ROUND(MAX(30, MIN(99, IFERROR((AN96-MIN($AN$2:$AN$101))/(MAX($AN$2:$AN$101)-MIN($AN$2:$AN$101))*99,30))),0))</x:f>
      </x:c>
      <x:c r="S96" s="20" t="str">
        <x:f>IF($B96="", "", ROUND(MAX(30, MIN(99, IFERROR((AO96-MIN($AO$2:$AO$101))/(MAX($AO$2:$AO$101)-MIN($AO$2:$AO$101))*99,30))),0))</x:f>
      </x:c>
      <x:c r="T96" s="20" t="str">
        <x:f>IF($B96="", "", ROUND(MAX(30, MIN(99, IFERROR((AP96-MIN($AP$2:$AP$101))/(MAX($AP$2:$AP$101)-MIN($AP$2:$AP$101))*99,30))),0))</x:f>
      </x:c>
      <x:c r="U96" s="20" t="str">
        <x:f>IF($B96="", "", ROUND(MAX(30, MIN(99, IFERROR((AQ96-MIN($AQ$2:$AQ$101))/(MAX($AQ$2:$AQ$101)-MIN($AQ$2:$AQ$101))*99,30))),0))</x:f>
      </x:c>
      <x:c r="V96" s="20" t="str">
        <x:f>IF($B96="", "", ROUND(MAX(30, MIN(99, IFERROR((AR96-MIN($AR$2:$AR$101))/(MAX($AR$2:$AR$101)-MIN($AR$2:$AR$101))*99,30))),0))</x:f>
      </x:c>
      <x:c r="W96" s="20" t="str">
        <x:f>IF($B96="", "", ROUND(MAX(30, MIN(99, IFERROR((AS96-MIN($AS$2:$AS$101))/(MAX($AS$2:$AS$101)-MIN($AS$2:$AS$101))*99,30))),0))</x:f>
      </x:c>
      <x:c r="X96" s="20" t="str">
        <x:f>IF($B96="", "", ROUND(MAX(30, MIN(99, IFERROR((AT96-MIN($AT$2:$AT$101))/(MAX($AT$2:$AT$101)-MIN($AT$2:$AT$101))*99,30))),0))</x:f>
      </x:c>
      <x:c r="Y96" s="20" t="str">
        <x:f>IF($B96="","",ROUND(AVERAGE(I96:X96),0))</x:f>
      </x:c>
      <x:c r="Z96" s="20" t="str">
        <x:f>IF($B96="","",ROUND(MAX(30,MIN(99,IFS(ISNUMBER(SEARCH("PG",UPPER(SUBSTITUTE($C96,"/","-")))),84,ISNUMBER(SEARCH("SG",UPPER(SUBSTITUTE($C96,"/","-")))),76,ISNUMBER(SEARCH("SF",UPPER(SUBSTITUTE($C96,"/","-")))),68,ISNUMBER(SEARCH("PF",UPPER(SUBSTITUTE($C96,"/","-")))),55,ISNUMBER(SEARCH("C",UPPER(SUBSTITUTE($C96,"/","-")))),42,TRUE,65)+((195-IFERROR($D96,195))*0.15)+((95-IFERROR($E96,95))*0.08))),0))</x:f>
      </x:c>
      <x:c r="AA96" s="20" t="str">
        <x:f>IF($B96="","",ROUND(MAX(30,MIN(99,IFS(ISNUMBER(SEARCH("PG",UPPER(SUBSTITUTE($C96,"/","-")))),84,ISNUMBER(SEARCH("SG",UPPER(SUBSTITUTE($C96,"/","-")))),76,ISNUMBER(SEARCH("SF",UPPER(SUBSTITUTE($C96,"/","-")))),68,ISNUMBER(SEARCH("PF",UPPER(SUBSTITUTE($C96,"/","-")))),55,ISNUMBER(SEARCH("C",UPPER(SUBSTITUTE($C96,"/","-")))),42,TRUE,65)+((195-IFERROR($D96,195))*0.18)+((95-IFERROR($E96,95))*0.10))),0))</x:f>
      </x:c>
      <x:c r="AB96" s="20" t="str">
        <x:f>IF($B96="","",ROUND(MAX(30,MIN(99,IFS(ISNUMBER(SEARCH("PG",UPPER(SUBSTITUTE($C96,"/","-")))),84,ISNUMBER(SEARCH("SG",UPPER(SUBSTITUTE($C96,"/","-")))),76,ISNUMBER(SEARCH("SF",UPPER(SUBSTITUTE($C96,"/","-")))),68,ISNUMBER(SEARCH("PF",UPPER(SUBSTITUTE($C96,"/","-")))),55,ISNUMBER(SEARCH("C",UPPER(SUBSTITUTE($C96,"/","-")))),42,TRUE,65)+2+((195-IFERROR($D96,195))*0.14)+((95-IFERROR($E96,95))*0.09))),0))</x:f>
      </x:c>
      <x:c r="AC96" s="20" t="str">
        <x:f>IF($B96="","",ROUND(MAX(30,MIN(99,IFS(ISNUMBER(SEARCH("C",UPPER(SUBSTITUTE($C96,"/","-")))),92,ISNUMBER(SEARCH("PF",UPPER(SUBSTITUTE($C96,"/","-")))),82,ISNUMBER(SEARCH("SF",UPPER(SUBSTITUTE($C96,"/","-")))),64,ISNUMBER(SEARCH("SG",UPPER(SUBSTITUTE($C96,"/","-")))),48,ISNUMBER(SEARCH("PG",UPPER(SUBSTITUTE($C96,"/","-")))),36,TRUE,60)+((IFERROR($E96,95)-95)*0.45)+((IFERROR($D96,195)-195)*0.10)+((IFERROR($F96,200)-200)*0.08))),0))</x:f>
      </x:c>
      <x:c r="AD96" s="20" t="str">
        <x:f>IF($B96="","",ROUND(MAX(30,MIN(99,65+((IFERROR($F96,200)-200)*0.22)+((IFERROR($D96,195)-195)*0.08)-((IFERROR($E96,95)-95)*0.07))),0))</x:f>
      </x:c>
      <x:c r="AE96" s="15" t="n">
        <x:f>IFERROR(='입력데이터'!S96,0)*0.4+IFERROR(='입력데이터'!AP96,0)*0.4+IFERROR(='입력데이터'!AO96,0)*0.5</x:f>
        <x:v>0</x:v>
      </x:c>
      <x:c r="AF96" s="15" t="n">
        <x:f>IFERROR(='입력데이터'!S96,0)*0.5+IFERROR(='입력데이터'!P96,0)*0.8+IFERROR(='입력데이터'!AG96,0)</x:f>
        <x:v>0</x:v>
      </x:c>
      <x:c r="AG96" s="15" t="n">
        <x:f>IFERROR(='입력데이터'!AJ96,0)*8+IFERROR(IFERROR(='입력데이터'!AJ96,0)/IFERROR(='입력데이터'!AK96,0),0)*30</x:f>
        <x:v>0</x:v>
      </x:c>
      <x:c r="AH96" s="15" t="n">
        <x:f>IFERROR(='입력데이터'!AJ96,0)*6+IFERROR(='입력데이터'!AH96,0)*4</x:f>
        <x:v>0</x:v>
      </x:c>
      <x:c r="AI96" s="15" t="n">
        <x:f>IFERROR(='입력데이터'!AP96,0)*0.4+IFERROR(='입력데이터'!AE96,0)*1.5+IFERROR(='입력데이터'!Q96,0)*1.5</x:f>
        <x:v>0</x:v>
      </x:c>
      <x:c r="AJ96" s="15" t="n">
        <x:f>MAX(0,IFERROR(='입력데이터'!P96,0)-IFERROR(='입력데이터'!Q96,0)*2-IFERROR(='입력데이터'!T96,0)*3-IFERROR(='입력데이터'!Z96,0))*1.5+IFERROR(='입력데이터'!Y96,0)*0.3</x:f>
        <x:v>0</x:v>
      </x:c>
      <x:c r="AK96" s="15" t="n">
        <x:f>IFERROR(='입력데이터'!V96,0)*0.6+IFERROR(='입력데이터'!U96,0)*2+IFERROR(='입력데이터'!T96,0)*3</x:f>
        <x:v>0</x:v>
      </x:c>
      <x:c r="AL96" s="15" t="n">
        <x:f>IFERROR(='입력데이터'!AB96,0)*0.7+IFERROR(='입력데이터'!AA96,0)*1.5</x:f>
        <x:v>0</x:v>
      </x:c>
      <x:c r="AM96" s="15" t="n">
        <x:f>IFERROR(='입력데이터'!AF96,0)*5+IFERROR(IFERROR(='입력데이터'!AF96,0)/IFERROR(='입력데이터'!AL96,0),0)*3+IFERROR(='입력데이터'!AT96,0)</x:f>
        <x:v>0</x:v>
      </x:c>
      <x:c r="AN96" s="15" t="n">
        <x:f>IFERROR(='입력데이터'!AF96,0)*3+IFERROR(='입력데이터'!AG96,0)*3+IFERROR(IFERROR(='입력데이터'!AF96,0)/IFERROR(='입력데이터'!AL96,0),0)*4</x:f>
        <x:v>0</x:v>
      </x:c>
      <x:c r="AO96" s="15" t="n">
        <x:f>IFERROR(='입력데이터'!AG96,0)*12+IFERROR(='입력데이터'!AU96,0)*6</x:f>
        <x:v>0</x:v>
      </x:c>
      <x:c r="AP96" s="15" t="n">
        <x:f>IFERROR(='입력데이터'!AH96,0)*14+IFERROR(='입력데이터'!AD96,0)</x:f>
        <x:v>0</x:v>
      </x:c>
      <x:c r="AQ96" s="15" t="n">
        <x:f>IFERROR(='입력데이터'!AC96,0)*10</x:f>
        <x:v>0</x:v>
      </x:c>
      <x:c r="AR96" s="15" t="n">
        <x:f>IFERROR(='입력데이터'!AD96,0)*7+IFERROR(='입력데이터'!AH96,0)*2</x:f>
        <x:v>0</x:v>
      </x:c>
      <x:c r="AS96" s="15" t="n">
        <x:f>IFERROR(='입력데이터'!AH96,0)*8+IFERROR(='입력데이터'!AD96,0)*2+IFERROR(='입력데이터'!AI96,0)*4</x:f>
        <x:v>0</x:v>
      </x:c>
      <x:c r="AT96" s="16" t="n">
        <x:f>IFERROR(='입력데이터'!AG96,0)*8+IFERROR(='입력데이터'!AI96,0)*5+IFERROR(='입력데이터'!AU96,0)*4</x:f>
        <x:v>0</x:v>
      </x:c>
    </x:row>
    <x:row r="97">
      <x:c r="A97" s="14" t="str">
        <x:f>IF('입력데이터'!$B97="","",'입력데이터'!A97)</x:f>
      </x:c>
      <x:c r="B97" s="15" t="str">
        <x:f>IF('입력데이터'!$B97="","",'입력데이터'!B97)</x:f>
      </x:c>
      <x:c r="C97" s="15" t="str">
        <x:f>IF('입력데이터'!$B97="","",'입력데이터'!K97)</x:f>
      </x:c>
      <x:c r="D97" s="15" t="str">
        <x:f>IF('입력데이터'!$B97="","",'입력데이터'!H97)</x:f>
      </x:c>
      <x:c r="E97" s="15" t="str">
        <x:f>IF('입력데이터'!$B97="","",'입력데이터'!I97)</x:f>
      </x:c>
      <x:c r="F97" s="15" t="str">
        <x:f>IF('입력데이터'!$B97="","",'입력데이터'!J97)</x:f>
      </x:c>
      <x:c r="G97" s="15" t="str">
        <x:f>IF('입력데이터'!$B97="","",'입력데이터'!L97)</x:f>
      </x:c>
      <x:c r="H97" s="15" t="str">
        <x:f>IF('입력데이터'!$B97="","",'입력데이터'!O97)</x:f>
      </x:c>
      <x:c r="I97" s="20" t="str">
        <x:f>IF($B97="", "", ROUND(MAX(30, MIN(99, IFERROR((AE97-MIN($AE$2:$AE$101))/(MAX($AE$2:$AE$101)-MIN($AE$2:$AE$101))*99,30))),0))</x:f>
      </x:c>
      <x:c r="J97" s="20" t="str">
        <x:f>IF($B97="", "", ROUND(MAX(30, MIN(99, IFERROR((AF97-MIN($AF$2:$AF$101))/(MAX($AF$2:$AF$101)-MIN($AF$2:$AF$101))*99,30))),0))</x:f>
      </x:c>
      <x:c r="K97" s="20" t="str">
        <x:f>IF($B97="", "", ROUND(MAX(30, MIN(99, IFERROR((AG97-MIN($AG$2:$AG$101))/(MAX($AG$2:$AG$101)-MIN($AG$2:$AG$101))*99,30))),0))</x:f>
      </x:c>
      <x:c r="L97" s="20" t="str">
        <x:f>IF($B97="", "", ROUND(MAX(30, MIN(99, IFERROR((AH97-MIN($AH$2:$AH$101))/(MAX($AH$2:$AH$101)-MIN($AH$2:$AH$101))*99,30))),0))</x:f>
      </x:c>
      <x:c r="M97" s="20" t="str">
        <x:f>IF($B97="", "", ROUND(MAX(30, MIN(99, IFERROR((AI97-MIN($AI$2:$AI$101))/(MAX($AI$2:$AI$101)-MIN($AI$2:$AI$101))*99,30))),0))</x:f>
      </x:c>
      <x:c r="N97" s="20" t="str">
        <x:f>IF($B97="", "", ROUND(MAX(30, MIN(99, IFERROR((AJ97-MIN($AJ$2:$AJ$101))/(MAX($AJ$2:$AJ$101)-MIN($AJ$2:$AJ$101))*99,30))),0))</x:f>
      </x:c>
      <x:c r="O97" s="20" t="str">
        <x:f>IF($B97="", "", ROUND(MAX(30, MIN(99, IFERROR((AK97-MIN($AK$2:$AK$101))/(MAX($AK$2:$AK$101)-MIN($AK$2:$AK$101))*99,30))),0))</x:f>
      </x:c>
      <x:c r="P97" s="20" t="str">
        <x:f>IF($B97="", "", ROUND(MAX(30, MIN(99, IFERROR((AL97-MIN($AL$2:$AL$101))/(MAX($AL$2:$AL$101)-MIN($AL$2:$AL$101))*99,30))),0))</x:f>
      </x:c>
      <x:c r="Q97" s="20" t="str">
        <x:f>IF($B97="", "", ROUND(MAX(30, MIN(99, IFERROR((AM97-MIN($AM$2:$AM$101))/(MAX($AM$2:$AM$101)-MIN($AM$2:$AM$101))*99,30))),0))</x:f>
      </x:c>
      <x:c r="R97" s="20" t="str">
        <x:f>IF($B97="", "", ROUND(MAX(30, MIN(99, IFERROR((AN97-MIN($AN$2:$AN$101))/(MAX($AN$2:$AN$101)-MIN($AN$2:$AN$101))*99,30))),0))</x:f>
      </x:c>
      <x:c r="S97" s="20" t="str">
        <x:f>IF($B97="", "", ROUND(MAX(30, MIN(99, IFERROR((AO97-MIN($AO$2:$AO$101))/(MAX($AO$2:$AO$101)-MIN($AO$2:$AO$101))*99,30))),0))</x:f>
      </x:c>
      <x:c r="T97" s="20" t="str">
        <x:f>IF($B97="", "", ROUND(MAX(30, MIN(99, IFERROR((AP97-MIN($AP$2:$AP$101))/(MAX($AP$2:$AP$101)-MIN($AP$2:$AP$101))*99,30))),0))</x:f>
      </x:c>
      <x:c r="U97" s="20" t="str">
        <x:f>IF($B97="", "", ROUND(MAX(30, MIN(99, IFERROR((AQ97-MIN($AQ$2:$AQ$101))/(MAX($AQ$2:$AQ$101)-MIN($AQ$2:$AQ$101))*99,30))),0))</x:f>
      </x:c>
      <x:c r="V97" s="20" t="str">
        <x:f>IF($B97="", "", ROUND(MAX(30, MIN(99, IFERROR((AR97-MIN($AR$2:$AR$101))/(MAX($AR$2:$AR$101)-MIN($AR$2:$AR$101))*99,30))),0))</x:f>
      </x:c>
      <x:c r="W97" s="20" t="str">
        <x:f>IF($B97="", "", ROUND(MAX(30, MIN(99, IFERROR((AS97-MIN($AS$2:$AS$101))/(MAX($AS$2:$AS$101)-MIN($AS$2:$AS$101))*99,30))),0))</x:f>
      </x:c>
      <x:c r="X97" s="20" t="str">
        <x:f>IF($B97="", "", ROUND(MAX(30, MIN(99, IFERROR((AT97-MIN($AT$2:$AT$101))/(MAX($AT$2:$AT$101)-MIN($AT$2:$AT$101))*99,30))),0))</x:f>
      </x:c>
      <x:c r="Y97" s="20" t="str">
        <x:f>IF($B97="","",ROUND(AVERAGE(I97:X97),0))</x:f>
      </x:c>
      <x:c r="Z97" s="20" t="str">
        <x:f>IF($B97="","",ROUND(MAX(30,MIN(99,IFS(ISNUMBER(SEARCH("PG",UPPER(SUBSTITUTE($C97,"/","-")))),84,ISNUMBER(SEARCH("SG",UPPER(SUBSTITUTE($C97,"/","-")))),76,ISNUMBER(SEARCH("SF",UPPER(SUBSTITUTE($C97,"/","-")))),68,ISNUMBER(SEARCH("PF",UPPER(SUBSTITUTE($C97,"/","-")))),55,ISNUMBER(SEARCH("C",UPPER(SUBSTITUTE($C97,"/","-")))),42,TRUE,65)+((195-IFERROR($D97,195))*0.15)+((95-IFERROR($E97,95))*0.08))),0))</x:f>
      </x:c>
      <x:c r="AA97" s="20" t="str">
        <x:f>IF($B97="","",ROUND(MAX(30,MIN(99,IFS(ISNUMBER(SEARCH("PG",UPPER(SUBSTITUTE($C97,"/","-")))),84,ISNUMBER(SEARCH("SG",UPPER(SUBSTITUTE($C97,"/","-")))),76,ISNUMBER(SEARCH("SF",UPPER(SUBSTITUTE($C97,"/","-")))),68,ISNUMBER(SEARCH("PF",UPPER(SUBSTITUTE($C97,"/","-")))),55,ISNUMBER(SEARCH("C",UPPER(SUBSTITUTE($C97,"/","-")))),42,TRUE,65)+((195-IFERROR($D97,195))*0.18)+((95-IFERROR($E97,95))*0.10))),0))</x:f>
      </x:c>
      <x:c r="AB97" s="20" t="str">
        <x:f>IF($B97="","",ROUND(MAX(30,MIN(99,IFS(ISNUMBER(SEARCH("PG",UPPER(SUBSTITUTE($C97,"/","-")))),84,ISNUMBER(SEARCH("SG",UPPER(SUBSTITUTE($C97,"/","-")))),76,ISNUMBER(SEARCH("SF",UPPER(SUBSTITUTE($C97,"/","-")))),68,ISNUMBER(SEARCH("PF",UPPER(SUBSTITUTE($C97,"/","-")))),55,ISNUMBER(SEARCH("C",UPPER(SUBSTITUTE($C97,"/","-")))),42,TRUE,65)+2+((195-IFERROR($D97,195))*0.14)+((95-IFERROR($E97,95))*0.09))),0))</x:f>
      </x:c>
      <x:c r="AC97" s="20" t="str">
        <x:f>IF($B97="","",ROUND(MAX(30,MIN(99,IFS(ISNUMBER(SEARCH("C",UPPER(SUBSTITUTE($C97,"/","-")))),92,ISNUMBER(SEARCH("PF",UPPER(SUBSTITUTE($C97,"/","-")))),82,ISNUMBER(SEARCH("SF",UPPER(SUBSTITUTE($C97,"/","-")))),64,ISNUMBER(SEARCH("SG",UPPER(SUBSTITUTE($C97,"/","-")))),48,ISNUMBER(SEARCH("PG",UPPER(SUBSTITUTE($C97,"/","-")))),36,TRUE,60)+((IFERROR($E97,95)-95)*0.45)+((IFERROR($D97,195)-195)*0.10)+((IFERROR($F97,200)-200)*0.08))),0))</x:f>
      </x:c>
      <x:c r="AD97" s="20" t="str">
        <x:f>IF($B97="","",ROUND(MAX(30,MIN(99,65+((IFERROR($F97,200)-200)*0.22)+((IFERROR($D97,195)-195)*0.08)-((IFERROR($E97,95)-95)*0.07))),0))</x:f>
      </x:c>
      <x:c r="AE97" s="15" t="n">
        <x:f>IFERROR(='입력데이터'!S97,0)*0.4+IFERROR(='입력데이터'!AP97,0)*0.4+IFERROR(='입력데이터'!AO97,0)*0.5</x:f>
        <x:v>0</x:v>
      </x:c>
      <x:c r="AF97" s="15" t="n">
        <x:f>IFERROR(='입력데이터'!S97,0)*0.5+IFERROR(='입력데이터'!P97,0)*0.8+IFERROR(='입력데이터'!AG97,0)</x:f>
        <x:v>0</x:v>
      </x:c>
      <x:c r="AG97" s="15" t="n">
        <x:f>IFERROR(='입력데이터'!AJ97,0)*8+IFERROR(IFERROR(='입력데이터'!AJ97,0)/IFERROR(='입력데이터'!AK97,0),0)*30</x:f>
        <x:v>0</x:v>
      </x:c>
      <x:c r="AH97" s="15" t="n">
        <x:f>IFERROR(='입력데이터'!AJ97,0)*6+IFERROR(='입력데이터'!AH97,0)*4</x:f>
        <x:v>0</x:v>
      </x:c>
      <x:c r="AI97" s="15" t="n">
        <x:f>IFERROR(='입력데이터'!AP97,0)*0.4+IFERROR(='입력데이터'!AE97,0)*1.5+IFERROR(='입력데이터'!Q97,0)*1.5</x:f>
        <x:v>0</x:v>
      </x:c>
      <x:c r="AJ97" s="15" t="n">
        <x:f>MAX(0,IFERROR(='입력데이터'!P97,0)-IFERROR(='입력데이터'!Q97,0)*2-IFERROR(='입력데이터'!T97,0)*3-IFERROR(='입력데이터'!Z97,0))*1.5+IFERROR(='입력데이터'!Y97,0)*0.3</x:f>
        <x:v>0</x:v>
      </x:c>
      <x:c r="AK97" s="15" t="n">
        <x:f>IFERROR(='입력데이터'!V97,0)*0.6+IFERROR(='입력데이터'!U97,0)*2+IFERROR(='입력데이터'!T97,0)*3</x:f>
        <x:v>0</x:v>
      </x:c>
      <x:c r="AL97" s="15" t="n">
        <x:f>IFERROR(='입력데이터'!AB97,0)*0.7+IFERROR(='입력데이터'!AA97,0)*1.5</x:f>
        <x:v>0</x:v>
      </x:c>
      <x:c r="AM97" s="15" t="n">
        <x:f>IFERROR(='입력데이터'!AF97,0)*5+IFERROR(IFERROR(='입력데이터'!AF97,0)/IFERROR(='입력데이터'!AL97,0),0)*3+IFERROR(='입력데이터'!AT97,0)</x:f>
        <x:v>0</x:v>
      </x:c>
      <x:c r="AN97" s="15" t="n">
        <x:f>IFERROR(='입력데이터'!AF97,0)*3+IFERROR(='입력데이터'!AG97,0)*3+IFERROR(IFERROR(='입력데이터'!AF97,0)/IFERROR(='입력데이터'!AL97,0),0)*4</x:f>
        <x:v>0</x:v>
      </x:c>
      <x:c r="AO97" s="15" t="n">
        <x:f>IFERROR(='입력데이터'!AG97,0)*12+IFERROR(='입력데이터'!AU97,0)*6</x:f>
        <x:v>0</x:v>
      </x:c>
      <x:c r="AP97" s="15" t="n">
        <x:f>IFERROR(='입력데이터'!AH97,0)*14+IFERROR(='입력데이터'!AD97,0)</x:f>
        <x:v>0</x:v>
      </x:c>
      <x:c r="AQ97" s="15" t="n">
        <x:f>IFERROR(='입력데이터'!AC97,0)*10</x:f>
        <x:v>0</x:v>
      </x:c>
      <x:c r="AR97" s="15" t="n">
        <x:f>IFERROR(='입력데이터'!AD97,0)*7+IFERROR(='입력데이터'!AH97,0)*2</x:f>
        <x:v>0</x:v>
      </x:c>
      <x:c r="AS97" s="15" t="n">
        <x:f>IFERROR(='입력데이터'!AH97,0)*8+IFERROR(='입력데이터'!AD97,0)*2+IFERROR(='입력데이터'!AI97,0)*4</x:f>
        <x:v>0</x:v>
      </x:c>
      <x:c r="AT97" s="16" t="n">
        <x:f>IFERROR(='입력데이터'!AG97,0)*8+IFERROR(='입력데이터'!AI97,0)*5+IFERROR(='입력데이터'!AU97,0)*4</x:f>
        <x:v>0</x:v>
      </x:c>
    </x:row>
    <x:row r="98">
      <x:c r="A98" s="14" t="str">
        <x:f>IF('입력데이터'!$B98="","",'입력데이터'!A98)</x:f>
      </x:c>
      <x:c r="B98" s="15" t="str">
        <x:f>IF('입력데이터'!$B98="","",'입력데이터'!B98)</x:f>
      </x:c>
      <x:c r="C98" s="15" t="str">
        <x:f>IF('입력데이터'!$B98="","",'입력데이터'!K98)</x:f>
      </x:c>
      <x:c r="D98" s="15" t="str">
        <x:f>IF('입력데이터'!$B98="","",'입력데이터'!H98)</x:f>
      </x:c>
      <x:c r="E98" s="15" t="str">
        <x:f>IF('입력데이터'!$B98="","",'입력데이터'!I98)</x:f>
      </x:c>
      <x:c r="F98" s="15" t="str">
        <x:f>IF('입력데이터'!$B98="","",'입력데이터'!J98)</x:f>
      </x:c>
      <x:c r="G98" s="15" t="str">
        <x:f>IF('입력데이터'!$B98="","",'입력데이터'!L98)</x:f>
      </x:c>
      <x:c r="H98" s="15" t="str">
        <x:f>IF('입력데이터'!$B98="","",'입력데이터'!O98)</x:f>
      </x:c>
      <x:c r="I98" s="20" t="str">
        <x:f>IF($B98="", "", ROUND(MAX(30, MIN(99, IFERROR((AE98-MIN($AE$2:$AE$101))/(MAX($AE$2:$AE$101)-MIN($AE$2:$AE$101))*99,30))),0))</x:f>
      </x:c>
      <x:c r="J98" s="20" t="str">
        <x:f>IF($B98="", "", ROUND(MAX(30, MIN(99, IFERROR((AF98-MIN($AF$2:$AF$101))/(MAX($AF$2:$AF$101)-MIN($AF$2:$AF$101))*99,30))),0))</x:f>
      </x:c>
      <x:c r="K98" s="20" t="str">
        <x:f>IF($B98="", "", ROUND(MAX(30, MIN(99, IFERROR((AG98-MIN($AG$2:$AG$101))/(MAX($AG$2:$AG$101)-MIN($AG$2:$AG$101))*99,30))),0))</x:f>
      </x:c>
      <x:c r="L98" s="20" t="str">
        <x:f>IF($B98="", "", ROUND(MAX(30, MIN(99, IFERROR((AH98-MIN($AH$2:$AH$101))/(MAX($AH$2:$AH$101)-MIN($AH$2:$AH$101))*99,30))),0))</x:f>
      </x:c>
      <x:c r="M98" s="20" t="str">
        <x:f>IF($B98="", "", ROUND(MAX(30, MIN(99, IFERROR((AI98-MIN($AI$2:$AI$101))/(MAX($AI$2:$AI$101)-MIN($AI$2:$AI$101))*99,30))),0))</x:f>
      </x:c>
      <x:c r="N98" s="20" t="str">
        <x:f>IF($B98="", "", ROUND(MAX(30, MIN(99, IFERROR((AJ98-MIN($AJ$2:$AJ$101))/(MAX($AJ$2:$AJ$101)-MIN($AJ$2:$AJ$101))*99,30))),0))</x:f>
      </x:c>
      <x:c r="O98" s="20" t="str">
        <x:f>IF($B98="", "", ROUND(MAX(30, MIN(99, IFERROR((AK98-MIN($AK$2:$AK$101))/(MAX($AK$2:$AK$101)-MIN($AK$2:$AK$101))*99,30))),0))</x:f>
      </x:c>
      <x:c r="P98" s="20" t="str">
        <x:f>IF($B98="", "", ROUND(MAX(30, MIN(99, IFERROR((AL98-MIN($AL$2:$AL$101))/(MAX($AL$2:$AL$101)-MIN($AL$2:$AL$101))*99,30))),0))</x:f>
      </x:c>
      <x:c r="Q98" s="20" t="str">
        <x:f>IF($B98="", "", ROUND(MAX(30, MIN(99, IFERROR((AM98-MIN($AM$2:$AM$101))/(MAX($AM$2:$AM$101)-MIN($AM$2:$AM$101))*99,30))),0))</x:f>
      </x:c>
      <x:c r="R98" s="20" t="str">
        <x:f>IF($B98="", "", ROUND(MAX(30, MIN(99, IFERROR((AN98-MIN($AN$2:$AN$101))/(MAX($AN$2:$AN$101)-MIN($AN$2:$AN$101))*99,30))),0))</x:f>
      </x:c>
      <x:c r="S98" s="20" t="str">
        <x:f>IF($B98="", "", ROUND(MAX(30, MIN(99, IFERROR((AO98-MIN($AO$2:$AO$101))/(MAX($AO$2:$AO$101)-MIN($AO$2:$AO$101))*99,30))),0))</x:f>
      </x:c>
      <x:c r="T98" s="20" t="str">
        <x:f>IF($B98="", "", ROUND(MAX(30, MIN(99, IFERROR((AP98-MIN($AP$2:$AP$101))/(MAX($AP$2:$AP$101)-MIN($AP$2:$AP$101))*99,30))),0))</x:f>
      </x:c>
      <x:c r="U98" s="20" t="str">
        <x:f>IF($B98="", "", ROUND(MAX(30, MIN(99, IFERROR((AQ98-MIN($AQ$2:$AQ$101))/(MAX($AQ$2:$AQ$101)-MIN($AQ$2:$AQ$101))*99,30))),0))</x:f>
      </x:c>
      <x:c r="V98" s="20" t="str">
        <x:f>IF($B98="", "", ROUND(MAX(30, MIN(99, IFERROR((AR98-MIN($AR$2:$AR$101))/(MAX($AR$2:$AR$101)-MIN($AR$2:$AR$101))*99,30))),0))</x:f>
      </x:c>
      <x:c r="W98" s="20" t="str">
        <x:f>IF($B98="", "", ROUND(MAX(30, MIN(99, IFERROR((AS98-MIN($AS$2:$AS$101))/(MAX($AS$2:$AS$101)-MIN($AS$2:$AS$101))*99,30))),0))</x:f>
      </x:c>
      <x:c r="X98" s="20" t="str">
        <x:f>IF($B98="", "", ROUND(MAX(30, MIN(99, IFERROR((AT98-MIN($AT$2:$AT$101))/(MAX($AT$2:$AT$101)-MIN($AT$2:$AT$101))*99,30))),0))</x:f>
      </x:c>
      <x:c r="Y98" s="20" t="str">
        <x:f>IF($B98="","",ROUND(AVERAGE(I98:X98),0))</x:f>
      </x:c>
      <x:c r="Z98" s="20" t="str">
        <x:f>IF($B98="","",ROUND(MAX(30,MIN(99,IFS(ISNUMBER(SEARCH("PG",UPPER(SUBSTITUTE($C98,"/","-")))),84,ISNUMBER(SEARCH("SG",UPPER(SUBSTITUTE($C98,"/","-")))),76,ISNUMBER(SEARCH("SF",UPPER(SUBSTITUTE($C98,"/","-")))),68,ISNUMBER(SEARCH("PF",UPPER(SUBSTITUTE($C98,"/","-")))),55,ISNUMBER(SEARCH("C",UPPER(SUBSTITUTE($C98,"/","-")))),42,TRUE,65)+((195-IFERROR($D98,195))*0.15)+((95-IFERROR($E98,95))*0.08))),0))</x:f>
      </x:c>
      <x:c r="AA98" s="20" t="str">
        <x:f>IF($B98="","",ROUND(MAX(30,MIN(99,IFS(ISNUMBER(SEARCH("PG",UPPER(SUBSTITUTE($C98,"/","-")))),84,ISNUMBER(SEARCH("SG",UPPER(SUBSTITUTE($C98,"/","-")))),76,ISNUMBER(SEARCH("SF",UPPER(SUBSTITUTE($C98,"/","-")))),68,ISNUMBER(SEARCH("PF",UPPER(SUBSTITUTE($C98,"/","-")))),55,ISNUMBER(SEARCH("C",UPPER(SUBSTITUTE($C98,"/","-")))),42,TRUE,65)+((195-IFERROR($D98,195))*0.18)+((95-IFERROR($E98,95))*0.10))),0))</x:f>
      </x:c>
      <x:c r="AB98" s="20" t="str">
        <x:f>IF($B98="","",ROUND(MAX(30,MIN(99,IFS(ISNUMBER(SEARCH("PG",UPPER(SUBSTITUTE($C98,"/","-")))),84,ISNUMBER(SEARCH("SG",UPPER(SUBSTITUTE($C98,"/","-")))),76,ISNUMBER(SEARCH("SF",UPPER(SUBSTITUTE($C98,"/","-")))),68,ISNUMBER(SEARCH("PF",UPPER(SUBSTITUTE($C98,"/","-")))),55,ISNUMBER(SEARCH("C",UPPER(SUBSTITUTE($C98,"/","-")))),42,TRUE,65)+2+((195-IFERROR($D98,195))*0.14)+((95-IFERROR($E98,95))*0.09))),0))</x:f>
      </x:c>
      <x:c r="AC98" s="20" t="str">
        <x:f>IF($B98="","",ROUND(MAX(30,MIN(99,IFS(ISNUMBER(SEARCH("C",UPPER(SUBSTITUTE($C98,"/","-")))),92,ISNUMBER(SEARCH("PF",UPPER(SUBSTITUTE($C98,"/","-")))),82,ISNUMBER(SEARCH("SF",UPPER(SUBSTITUTE($C98,"/","-")))),64,ISNUMBER(SEARCH("SG",UPPER(SUBSTITUTE($C98,"/","-")))),48,ISNUMBER(SEARCH("PG",UPPER(SUBSTITUTE($C98,"/","-")))),36,TRUE,60)+((IFERROR($E98,95)-95)*0.45)+((IFERROR($D98,195)-195)*0.10)+((IFERROR($F98,200)-200)*0.08))),0))</x:f>
      </x:c>
      <x:c r="AD98" s="20" t="str">
        <x:f>IF($B98="","",ROUND(MAX(30,MIN(99,65+((IFERROR($F98,200)-200)*0.22)+((IFERROR($D98,195)-195)*0.08)-((IFERROR($E98,95)-95)*0.07))),0))</x:f>
      </x:c>
      <x:c r="AE98" s="15" t="n">
        <x:f>IFERROR(='입력데이터'!S98,0)*0.4+IFERROR(='입력데이터'!AP98,0)*0.4+IFERROR(='입력데이터'!AO98,0)*0.5</x:f>
        <x:v>0</x:v>
      </x:c>
      <x:c r="AF98" s="15" t="n">
        <x:f>IFERROR(='입력데이터'!S98,0)*0.5+IFERROR(='입력데이터'!P98,0)*0.8+IFERROR(='입력데이터'!AG98,0)</x:f>
        <x:v>0</x:v>
      </x:c>
      <x:c r="AG98" s="15" t="n">
        <x:f>IFERROR(='입력데이터'!AJ98,0)*8+IFERROR(IFERROR(='입력데이터'!AJ98,0)/IFERROR(='입력데이터'!AK98,0),0)*30</x:f>
        <x:v>0</x:v>
      </x:c>
      <x:c r="AH98" s="15" t="n">
        <x:f>IFERROR(='입력데이터'!AJ98,0)*6+IFERROR(='입력데이터'!AH98,0)*4</x:f>
        <x:v>0</x:v>
      </x:c>
      <x:c r="AI98" s="15" t="n">
        <x:f>IFERROR(='입력데이터'!AP98,0)*0.4+IFERROR(='입력데이터'!AE98,0)*1.5+IFERROR(='입력데이터'!Q98,0)*1.5</x:f>
        <x:v>0</x:v>
      </x:c>
      <x:c r="AJ98" s="15" t="n">
        <x:f>MAX(0,IFERROR(='입력데이터'!P98,0)-IFERROR(='입력데이터'!Q98,0)*2-IFERROR(='입력데이터'!T98,0)*3-IFERROR(='입력데이터'!Z98,0))*1.5+IFERROR(='입력데이터'!Y98,0)*0.3</x:f>
        <x:v>0</x:v>
      </x:c>
      <x:c r="AK98" s="15" t="n">
        <x:f>IFERROR(='입력데이터'!V98,0)*0.6+IFERROR(='입력데이터'!U98,0)*2+IFERROR(='입력데이터'!T98,0)*3</x:f>
        <x:v>0</x:v>
      </x:c>
      <x:c r="AL98" s="15" t="n">
        <x:f>IFERROR(='입력데이터'!AB98,0)*0.7+IFERROR(='입력데이터'!AA98,0)*1.5</x:f>
        <x:v>0</x:v>
      </x:c>
      <x:c r="AM98" s="15" t="n">
        <x:f>IFERROR(='입력데이터'!AF98,0)*5+IFERROR(IFERROR(='입력데이터'!AF98,0)/IFERROR(='입력데이터'!AL98,0),0)*3+IFERROR(='입력데이터'!AT98,0)</x:f>
        <x:v>0</x:v>
      </x:c>
      <x:c r="AN98" s="15" t="n">
        <x:f>IFERROR(='입력데이터'!AF98,0)*3+IFERROR(='입력데이터'!AG98,0)*3+IFERROR(IFERROR(='입력데이터'!AF98,0)/IFERROR(='입력데이터'!AL98,0),0)*4</x:f>
        <x:v>0</x:v>
      </x:c>
      <x:c r="AO98" s="15" t="n">
        <x:f>IFERROR(='입력데이터'!AG98,0)*12+IFERROR(='입력데이터'!AU98,0)*6</x:f>
        <x:v>0</x:v>
      </x:c>
      <x:c r="AP98" s="15" t="n">
        <x:f>IFERROR(='입력데이터'!AH98,0)*14+IFERROR(='입력데이터'!AD98,0)</x:f>
        <x:v>0</x:v>
      </x:c>
      <x:c r="AQ98" s="15" t="n">
        <x:f>IFERROR(='입력데이터'!AC98,0)*10</x:f>
        <x:v>0</x:v>
      </x:c>
      <x:c r="AR98" s="15" t="n">
        <x:f>IFERROR(='입력데이터'!AD98,0)*7+IFERROR(='입력데이터'!AH98,0)*2</x:f>
        <x:v>0</x:v>
      </x:c>
      <x:c r="AS98" s="15" t="n">
        <x:f>IFERROR(='입력데이터'!AH98,0)*8+IFERROR(='입력데이터'!AD98,0)*2+IFERROR(='입력데이터'!AI98,0)*4</x:f>
        <x:v>0</x:v>
      </x:c>
      <x:c r="AT98" s="16" t="n">
        <x:f>IFERROR(='입력데이터'!AG98,0)*8+IFERROR(='입력데이터'!AI98,0)*5+IFERROR(='입력데이터'!AU98,0)*4</x:f>
        <x:v>0</x:v>
      </x:c>
    </x:row>
    <x:row r="99">
      <x:c r="A99" s="14" t="str">
        <x:f>IF('입력데이터'!$B99="","",'입력데이터'!A99)</x:f>
      </x:c>
      <x:c r="B99" s="15" t="str">
        <x:f>IF('입력데이터'!$B99="","",'입력데이터'!B99)</x:f>
      </x:c>
      <x:c r="C99" s="15" t="str">
        <x:f>IF('입력데이터'!$B99="","",'입력데이터'!K99)</x:f>
      </x:c>
      <x:c r="D99" s="15" t="str">
        <x:f>IF('입력데이터'!$B99="","",'입력데이터'!H99)</x:f>
      </x:c>
      <x:c r="E99" s="15" t="str">
        <x:f>IF('입력데이터'!$B99="","",'입력데이터'!I99)</x:f>
      </x:c>
      <x:c r="F99" s="15" t="str">
        <x:f>IF('입력데이터'!$B99="","",'입력데이터'!J99)</x:f>
      </x:c>
      <x:c r="G99" s="15" t="str">
        <x:f>IF('입력데이터'!$B99="","",'입력데이터'!L99)</x:f>
      </x:c>
      <x:c r="H99" s="15" t="str">
        <x:f>IF('입력데이터'!$B99="","",'입력데이터'!O99)</x:f>
      </x:c>
      <x:c r="I99" s="20" t="str">
        <x:f>IF($B99="", "", ROUND(MAX(30, MIN(99, IFERROR((AE99-MIN($AE$2:$AE$101))/(MAX($AE$2:$AE$101)-MIN($AE$2:$AE$101))*99,30))),0))</x:f>
      </x:c>
      <x:c r="J99" s="20" t="str">
        <x:f>IF($B99="", "", ROUND(MAX(30, MIN(99, IFERROR((AF99-MIN($AF$2:$AF$101))/(MAX($AF$2:$AF$101)-MIN($AF$2:$AF$101))*99,30))),0))</x:f>
      </x:c>
      <x:c r="K99" s="20" t="str">
        <x:f>IF($B99="", "", ROUND(MAX(30, MIN(99, IFERROR((AG99-MIN($AG$2:$AG$101))/(MAX($AG$2:$AG$101)-MIN($AG$2:$AG$101))*99,30))),0))</x:f>
      </x:c>
      <x:c r="L99" s="20" t="str">
        <x:f>IF($B99="", "", ROUND(MAX(30, MIN(99, IFERROR((AH99-MIN($AH$2:$AH$101))/(MAX($AH$2:$AH$101)-MIN($AH$2:$AH$101))*99,30))),0))</x:f>
      </x:c>
      <x:c r="M99" s="20" t="str">
        <x:f>IF($B99="", "", ROUND(MAX(30, MIN(99, IFERROR((AI99-MIN($AI$2:$AI$101))/(MAX($AI$2:$AI$101)-MIN($AI$2:$AI$101))*99,30))),0))</x:f>
      </x:c>
      <x:c r="N99" s="20" t="str">
        <x:f>IF($B99="", "", ROUND(MAX(30, MIN(99, IFERROR((AJ99-MIN($AJ$2:$AJ$101))/(MAX($AJ$2:$AJ$101)-MIN($AJ$2:$AJ$101))*99,30))),0))</x:f>
      </x:c>
      <x:c r="O99" s="20" t="str">
        <x:f>IF($B99="", "", ROUND(MAX(30, MIN(99, IFERROR((AK99-MIN($AK$2:$AK$101))/(MAX($AK$2:$AK$101)-MIN($AK$2:$AK$101))*99,30))),0))</x:f>
      </x:c>
      <x:c r="P99" s="20" t="str">
        <x:f>IF($B99="", "", ROUND(MAX(30, MIN(99, IFERROR((AL99-MIN($AL$2:$AL$101))/(MAX($AL$2:$AL$101)-MIN($AL$2:$AL$101))*99,30))),0))</x:f>
      </x:c>
      <x:c r="Q99" s="20" t="str">
        <x:f>IF($B99="", "", ROUND(MAX(30, MIN(99, IFERROR((AM99-MIN($AM$2:$AM$101))/(MAX($AM$2:$AM$101)-MIN($AM$2:$AM$101))*99,30))),0))</x:f>
      </x:c>
      <x:c r="R99" s="20" t="str">
        <x:f>IF($B99="", "", ROUND(MAX(30, MIN(99, IFERROR((AN99-MIN($AN$2:$AN$101))/(MAX($AN$2:$AN$101)-MIN($AN$2:$AN$101))*99,30))),0))</x:f>
      </x:c>
      <x:c r="S99" s="20" t="str">
        <x:f>IF($B99="", "", ROUND(MAX(30, MIN(99, IFERROR((AO99-MIN($AO$2:$AO$101))/(MAX($AO$2:$AO$101)-MIN($AO$2:$AO$101))*99,30))),0))</x:f>
      </x:c>
      <x:c r="T99" s="20" t="str">
        <x:f>IF($B99="", "", ROUND(MAX(30, MIN(99, IFERROR((AP99-MIN($AP$2:$AP$101))/(MAX($AP$2:$AP$101)-MIN($AP$2:$AP$101))*99,30))),0))</x:f>
      </x:c>
      <x:c r="U99" s="20" t="str">
        <x:f>IF($B99="", "", ROUND(MAX(30, MIN(99, IFERROR((AQ99-MIN($AQ$2:$AQ$101))/(MAX($AQ$2:$AQ$101)-MIN($AQ$2:$AQ$101))*99,30))),0))</x:f>
      </x:c>
      <x:c r="V99" s="20" t="str">
        <x:f>IF($B99="", "", ROUND(MAX(30, MIN(99, IFERROR((AR99-MIN($AR$2:$AR$101))/(MAX($AR$2:$AR$101)-MIN($AR$2:$AR$101))*99,30))),0))</x:f>
      </x:c>
      <x:c r="W99" s="20" t="str">
        <x:f>IF($B99="", "", ROUND(MAX(30, MIN(99, IFERROR((AS99-MIN($AS$2:$AS$101))/(MAX($AS$2:$AS$101)-MIN($AS$2:$AS$101))*99,30))),0))</x:f>
      </x:c>
      <x:c r="X99" s="20" t="str">
        <x:f>IF($B99="", "", ROUND(MAX(30, MIN(99, IFERROR((AT99-MIN($AT$2:$AT$101))/(MAX($AT$2:$AT$101)-MIN($AT$2:$AT$101))*99,30))),0))</x:f>
      </x:c>
      <x:c r="Y99" s="20" t="str">
        <x:f>IF($B99="","",ROUND(AVERAGE(I99:X99),0))</x:f>
      </x:c>
      <x:c r="Z99" s="20" t="str">
        <x:f>IF($B99="","",ROUND(MAX(30,MIN(99,IFS(ISNUMBER(SEARCH("PG",UPPER(SUBSTITUTE($C99,"/","-")))),84,ISNUMBER(SEARCH("SG",UPPER(SUBSTITUTE($C99,"/","-")))),76,ISNUMBER(SEARCH("SF",UPPER(SUBSTITUTE($C99,"/","-")))),68,ISNUMBER(SEARCH("PF",UPPER(SUBSTITUTE($C99,"/","-")))),55,ISNUMBER(SEARCH("C",UPPER(SUBSTITUTE($C99,"/","-")))),42,TRUE,65)+((195-IFERROR($D99,195))*0.15)+((95-IFERROR($E99,95))*0.08))),0))</x:f>
      </x:c>
      <x:c r="AA99" s="20" t="str">
        <x:f>IF($B99="","",ROUND(MAX(30,MIN(99,IFS(ISNUMBER(SEARCH("PG",UPPER(SUBSTITUTE($C99,"/","-")))),84,ISNUMBER(SEARCH("SG",UPPER(SUBSTITUTE($C99,"/","-")))),76,ISNUMBER(SEARCH("SF",UPPER(SUBSTITUTE($C99,"/","-")))),68,ISNUMBER(SEARCH("PF",UPPER(SUBSTITUTE($C99,"/","-")))),55,ISNUMBER(SEARCH("C",UPPER(SUBSTITUTE($C99,"/","-")))),42,TRUE,65)+((195-IFERROR($D99,195))*0.18)+((95-IFERROR($E99,95))*0.10))),0))</x:f>
      </x:c>
      <x:c r="AB99" s="20" t="str">
        <x:f>IF($B99="","",ROUND(MAX(30,MIN(99,IFS(ISNUMBER(SEARCH("PG",UPPER(SUBSTITUTE($C99,"/","-")))),84,ISNUMBER(SEARCH("SG",UPPER(SUBSTITUTE($C99,"/","-")))),76,ISNUMBER(SEARCH("SF",UPPER(SUBSTITUTE($C99,"/","-")))),68,ISNUMBER(SEARCH("PF",UPPER(SUBSTITUTE($C99,"/","-")))),55,ISNUMBER(SEARCH("C",UPPER(SUBSTITUTE($C99,"/","-")))),42,TRUE,65)+2+((195-IFERROR($D99,195))*0.14)+((95-IFERROR($E99,95))*0.09))),0))</x:f>
      </x:c>
      <x:c r="AC99" s="20" t="str">
        <x:f>IF($B99="","",ROUND(MAX(30,MIN(99,IFS(ISNUMBER(SEARCH("C",UPPER(SUBSTITUTE($C99,"/","-")))),92,ISNUMBER(SEARCH("PF",UPPER(SUBSTITUTE($C99,"/","-")))),82,ISNUMBER(SEARCH("SF",UPPER(SUBSTITUTE($C99,"/","-")))),64,ISNUMBER(SEARCH("SG",UPPER(SUBSTITUTE($C99,"/","-")))),48,ISNUMBER(SEARCH("PG",UPPER(SUBSTITUTE($C99,"/","-")))),36,TRUE,60)+((IFERROR($E99,95)-95)*0.45)+((IFERROR($D99,195)-195)*0.10)+((IFERROR($F99,200)-200)*0.08))),0))</x:f>
      </x:c>
      <x:c r="AD99" s="20" t="str">
        <x:f>IF($B99="","",ROUND(MAX(30,MIN(99,65+((IFERROR($F99,200)-200)*0.22)+((IFERROR($D99,195)-195)*0.08)-((IFERROR($E99,95)-95)*0.07))),0))</x:f>
      </x:c>
      <x:c r="AE99" s="15" t="n">
        <x:f>IFERROR(='입력데이터'!S99,0)*0.4+IFERROR(='입력데이터'!AP99,0)*0.4+IFERROR(='입력데이터'!AO99,0)*0.5</x:f>
        <x:v>0</x:v>
      </x:c>
      <x:c r="AF99" s="15" t="n">
        <x:f>IFERROR(='입력데이터'!S99,0)*0.5+IFERROR(='입력데이터'!P99,0)*0.8+IFERROR(='입력데이터'!AG99,0)</x:f>
        <x:v>0</x:v>
      </x:c>
      <x:c r="AG99" s="15" t="n">
        <x:f>IFERROR(='입력데이터'!AJ99,0)*8+IFERROR(IFERROR(='입력데이터'!AJ99,0)/IFERROR(='입력데이터'!AK99,0),0)*30</x:f>
        <x:v>0</x:v>
      </x:c>
      <x:c r="AH99" s="15" t="n">
        <x:f>IFERROR(='입력데이터'!AJ99,0)*6+IFERROR(='입력데이터'!AH99,0)*4</x:f>
        <x:v>0</x:v>
      </x:c>
      <x:c r="AI99" s="15" t="n">
        <x:f>IFERROR(='입력데이터'!AP99,0)*0.4+IFERROR(='입력데이터'!AE99,0)*1.5+IFERROR(='입력데이터'!Q99,0)*1.5</x:f>
        <x:v>0</x:v>
      </x:c>
      <x:c r="AJ99" s="15" t="n">
        <x:f>MAX(0,IFERROR(='입력데이터'!P99,0)-IFERROR(='입력데이터'!Q99,0)*2-IFERROR(='입력데이터'!T99,0)*3-IFERROR(='입력데이터'!Z99,0))*1.5+IFERROR(='입력데이터'!Y99,0)*0.3</x:f>
        <x:v>0</x:v>
      </x:c>
      <x:c r="AK99" s="15" t="n">
        <x:f>IFERROR(='입력데이터'!V99,0)*0.6+IFERROR(='입력데이터'!U99,0)*2+IFERROR(='입력데이터'!T99,0)*3</x:f>
        <x:v>0</x:v>
      </x:c>
      <x:c r="AL99" s="15" t="n">
        <x:f>IFERROR(='입력데이터'!AB99,0)*0.7+IFERROR(='입력데이터'!AA99,0)*1.5</x:f>
        <x:v>0</x:v>
      </x:c>
      <x:c r="AM99" s="15" t="n">
        <x:f>IFERROR(='입력데이터'!AF99,0)*5+IFERROR(IFERROR(='입력데이터'!AF99,0)/IFERROR(='입력데이터'!AL99,0),0)*3+IFERROR(='입력데이터'!AT99,0)</x:f>
        <x:v>0</x:v>
      </x:c>
      <x:c r="AN99" s="15" t="n">
        <x:f>IFERROR(='입력데이터'!AF99,0)*3+IFERROR(='입력데이터'!AG99,0)*3+IFERROR(IFERROR(='입력데이터'!AF99,0)/IFERROR(='입력데이터'!AL99,0),0)*4</x:f>
        <x:v>0</x:v>
      </x:c>
      <x:c r="AO99" s="15" t="n">
        <x:f>IFERROR(='입력데이터'!AG99,0)*12+IFERROR(='입력데이터'!AU99,0)*6</x:f>
        <x:v>0</x:v>
      </x:c>
      <x:c r="AP99" s="15" t="n">
        <x:f>IFERROR(='입력데이터'!AH99,0)*14+IFERROR(='입력데이터'!AD99,0)</x:f>
        <x:v>0</x:v>
      </x:c>
      <x:c r="AQ99" s="15" t="n">
        <x:f>IFERROR(='입력데이터'!AC99,0)*10</x:f>
        <x:v>0</x:v>
      </x:c>
      <x:c r="AR99" s="15" t="n">
        <x:f>IFERROR(='입력데이터'!AD99,0)*7+IFERROR(='입력데이터'!AH99,0)*2</x:f>
        <x:v>0</x:v>
      </x:c>
      <x:c r="AS99" s="15" t="n">
        <x:f>IFERROR(='입력데이터'!AH99,0)*8+IFERROR(='입력데이터'!AD99,0)*2+IFERROR(='입력데이터'!AI99,0)*4</x:f>
        <x:v>0</x:v>
      </x:c>
      <x:c r="AT99" s="16" t="n">
        <x:f>IFERROR(='입력데이터'!AG99,0)*8+IFERROR(='입력데이터'!AI99,0)*5+IFERROR(='입력데이터'!AU99,0)*4</x:f>
        <x:v>0</x:v>
      </x:c>
    </x:row>
    <x:row r="100">
      <x:c r="A100" s="14" t="str">
        <x:f>IF('입력데이터'!$B100="","",'입력데이터'!A100)</x:f>
      </x:c>
      <x:c r="B100" s="15" t="str">
        <x:f>IF('입력데이터'!$B100="","",'입력데이터'!B100)</x:f>
      </x:c>
      <x:c r="C100" s="15" t="str">
        <x:f>IF('입력데이터'!$B100="","",'입력데이터'!K100)</x:f>
      </x:c>
      <x:c r="D100" s="15" t="str">
        <x:f>IF('입력데이터'!$B100="","",'입력데이터'!H100)</x:f>
      </x:c>
      <x:c r="E100" s="15" t="str">
        <x:f>IF('입력데이터'!$B100="","",'입력데이터'!I100)</x:f>
      </x:c>
      <x:c r="F100" s="15" t="str">
        <x:f>IF('입력데이터'!$B100="","",'입력데이터'!J100)</x:f>
      </x:c>
      <x:c r="G100" s="15" t="str">
        <x:f>IF('입력데이터'!$B100="","",'입력데이터'!L100)</x:f>
      </x:c>
      <x:c r="H100" s="15" t="str">
        <x:f>IF('입력데이터'!$B100="","",'입력데이터'!O100)</x:f>
      </x:c>
      <x:c r="I100" s="20" t="str">
        <x:f>IF($B100="", "", ROUND(MAX(30, MIN(99, IFERROR((AE100-MIN($AE$2:$AE$101))/(MAX($AE$2:$AE$101)-MIN($AE$2:$AE$101))*99,30))),0))</x:f>
      </x:c>
      <x:c r="J100" s="20" t="str">
        <x:f>IF($B100="", "", ROUND(MAX(30, MIN(99, IFERROR((AF100-MIN($AF$2:$AF$101))/(MAX($AF$2:$AF$101)-MIN($AF$2:$AF$101))*99,30))),0))</x:f>
      </x:c>
      <x:c r="K100" s="20" t="str">
        <x:f>IF($B100="", "", ROUND(MAX(30, MIN(99, IFERROR((AG100-MIN($AG$2:$AG$101))/(MAX($AG$2:$AG$101)-MIN($AG$2:$AG$101))*99,30))),0))</x:f>
      </x:c>
      <x:c r="L100" s="20" t="str">
        <x:f>IF($B100="", "", ROUND(MAX(30, MIN(99, IFERROR((AH100-MIN($AH$2:$AH$101))/(MAX($AH$2:$AH$101)-MIN($AH$2:$AH$101))*99,30))),0))</x:f>
      </x:c>
      <x:c r="M100" s="20" t="str">
        <x:f>IF($B100="", "", ROUND(MAX(30, MIN(99, IFERROR((AI100-MIN($AI$2:$AI$101))/(MAX($AI$2:$AI$101)-MIN($AI$2:$AI$101))*99,30))),0))</x:f>
      </x:c>
      <x:c r="N100" s="20" t="str">
        <x:f>IF($B100="", "", ROUND(MAX(30, MIN(99, IFERROR((AJ100-MIN($AJ$2:$AJ$101))/(MAX($AJ$2:$AJ$101)-MIN($AJ$2:$AJ$101))*99,30))),0))</x:f>
      </x:c>
      <x:c r="O100" s="20" t="str">
        <x:f>IF($B100="", "", ROUND(MAX(30, MIN(99, IFERROR((AK100-MIN($AK$2:$AK$101))/(MAX($AK$2:$AK$101)-MIN($AK$2:$AK$101))*99,30))),0))</x:f>
      </x:c>
      <x:c r="P100" s="20" t="str">
        <x:f>IF($B100="", "", ROUND(MAX(30, MIN(99, IFERROR((AL100-MIN($AL$2:$AL$101))/(MAX($AL$2:$AL$101)-MIN($AL$2:$AL$101))*99,30))),0))</x:f>
      </x:c>
      <x:c r="Q100" s="20" t="str">
        <x:f>IF($B100="", "", ROUND(MAX(30, MIN(99, IFERROR((AM100-MIN($AM$2:$AM$101))/(MAX($AM$2:$AM$101)-MIN($AM$2:$AM$101))*99,30))),0))</x:f>
      </x:c>
      <x:c r="R100" s="20" t="str">
        <x:f>IF($B100="", "", ROUND(MAX(30, MIN(99, IFERROR((AN100-MIN($AN$2:$AN$101))/(MAX($AN$2:$AN$101)-MIN($AN$2:$AN$101))*99,30))),0))</x:f>
      </x:c>
      <x:c r="S100" s="20" t="str">
        <x:f>IF($B100="", "", ROUND(MAX(30, MIN(99, IFERROR((AO100-MIN($AO$2:$AO$101))/(MAX($AO$2:$AO$101)-MIN($AO$2:$AO$101))*99,30))),0))</x:f>
      </x:c>
      <x:c r="T100" s="20" t="str">
        <x:f>IF($B100="", "", ROUND(MAX(30, MIN(99, IFERROR((AP100-MIN($AP$2:$AP$101))/(MAX($AP$2:$AP$101)-MIN($AP$2:$AP$101))*99,30))),0))</x:f>
      </x:c>
      <x:c r="U100" s="20" t="str">
        <x:f>IF($B100="", "", ROUND(MAX(30, MIN(99, IFERROR((AQ100-MIN($AQ$2:$AQ$101))/(MAX($AQ$2:$AQ$101)-MIN($AQ$2:$AQ$101))*99,30))),0))</x:f>
      </x:c>
      <x:c r="V100" s="20" t="str">
        <x:f>IF($B100="", "", ROUND(MAX(30, MIN(99, IFERROR((AR100-MIN($AR$2:$AR$101))/(MAX($AR$2:$AR$101)-MIN($AR$2:$AR$101))*99,30))),0))</x:f>
      </x:c>
      <x:c r="W100" s="20" t="str">
        <x:f>IF($B100="", "", ROUND(MAX(30, MIN(99, IFERROR((AS100-MIN($AS$2:$AS$101))/(MAX($AS$2:$AS$101)-MIN($AS$2:$AS$101))*99,30))),0))</x:f>
      </x:c>
      <x:c r="X100" s="20" t="str">
        <x:f>IF($B100="", "", ROUND(MAX(30, MIN(99, IFERROR((AT100-MIN($AT$2:$AT$101))/(MAX($AT$2:$AT$101)-MIN($AT$2:$AT$101))*99,30))),0))</x:f>
      </x:c>
      <x:c r="Y100" s="20" t="str">
        <x:f>IF($B100="","",ROUND(AVERAGE(I100:X100),0))</x:f>
      </x:c>
      <x:c r="Z100" s="20" t="str">
        <x:f>IF($B100="","",ROUND(MAX(30,MIN(99,IFS(ISNUMBER(SEARCH("PG",UPPER(SUBSTITUTE($C100,"/","-")))),84,ISNUMBER(SEARCH("SG",UPPER(SUBSTITUTE($C100,"/","-")))),76,ISNUMBER(SEARCH("SF",UPPER(SUBSTITUTE($C100,"/","-")))),68,ISNUMBER(SEARCH("PF",UPPER(SUBSTITUTE($C100,"/","-")))),55,ISNUMBER(SEARCH("C",UPPER(SUBSTITUTE($C100,"/","-")))),42,TRUE,65)+((195-IFERROR($D100,195))*0.15)+((95-IFERROR($E100,95))*0.08))),0))</x:f>
      </x:c>
      <x:c r="AA100" s="20" t="str">
        <x:f>IF($B100="","",ROUND(MAX(30,MIN(99,IFS(ISNUMBER(SEARCH("PG",UPPER(SUBSTITUTE($C100,"/","-")))),84,ISNUMBER(SEARCH("SG",UPPER(SUBSTITUTE($C100,"/","-")))),76,ISNUMBER(SEARCH("SF",UPPER(SUBSTITUTE($C100,"/","-")))),68,ISNUMBER(SEARCH("PF",UPPER(SUBSTITUTE($C100,"/","-")))),55,ISNUMBER(SEARCH("C",UPPER(SUBSTITUTE($C100,"/","-")))),42,TRUE,65)+((195-IFERROR($D100,195))*0.18)+((95-IFERROR($E100,95))*0.10))),0))</x:f>
      </x:c>
      <x:c r="AB100" s="20" t="str">
        <x:f>IF($B100="","",ROUND(MAX(30,MIN(99,IFS(ISNUMBER(SEARCH("PG",UPPER(SUBSTITUTE($C100,"/","-")))),84,ISNUMBER(SEARCH("SG",UPPER(SUBSTITUTE($C100,"/","-")))),76,ISNUMBER(SEARCH("SF",UPPER(SUBSTITUTE($C100,"/","-")))),68,ISNUMBER(SEARCH("PF",UPPER(SUBSTITUTE($C100,"/","-")))),55,ISNUMBER(SEARCH("C",UPPER(SUBSTITUTE($C100,"/","-")))),42,TRUE,65)+2+((195-IFERROR($D100,195))*0.14)+((95-IFERROR($E100,95))*0.09))),0))</x:f>
      </x:c>
      <x:c r="AC100" s="20" t="str">
        <x:f>IF($B100="","",ROUND(MAX(30,MIN(99,IFS(ISNUMBER(SEARCH("C",UPPER(SUBSTITUTE($C100,"/","-")))),92,ISNUMBER(SEARCH("PF",UPPER(SUBSTITUTE($C100,"/","-")))),82,ISNUMBER(SEARCH("SF",UPPER(SUBSTITUTE($C100,"/","-")))),64,ISNUMBER(SEARCH("SG",UPPER(SUBSTITUTE($C100,"/","-")))),48,ISNUMBER(SEARCH("PG",UPPER(SUBSTITUTE($C100,"/","-")))),36,TRUE,60)+((IFERROR($E100,95)-95)*0.45)+((IFERROR($D100,195)-195)*0.10)+((IFERROR($F100,200)-200)*0.08))),0))</x:f>
      </x:c>
      <x:c r="AD100" s="20" t="str">
        <x:f>IF($B100="","",ROUND(MAX(30,MIN(99,65+((IFERROR($F100,200)-200)*0.22)+((IFERROR($D100,195)-195)*0.08)-((IFERROR($E100,95)-95)*0.07))),0))</x:f>
      </x:c>
      <x:c r="AE100" s="15" t="n">
        <x:f>IFERROR(='입력데이터'!S100,0)*0.4+IFERROR(='입력데이터'!AP100,0)*0.4+IFERROR(='입력데이터'!AO100,0)*0.5</x:f>
        <x:v>0</x:v>
      </x:c>
      <x:c r="AF100" s="15" t="n">
        <x:f>IFERROR(='입력데이터'!S100,0)*0.5+IFERROR(='입력데이터'!P100,0)*0.8+IFERROR(='입력데이터'!AG100,0)</x:f>
        <x:v>0</x:v>
      </x:c>
      <x:c r="AG100" s="15" t="n">
        <x:f>IFERROR(='입력데이터'!AJ100,0)*8+IFERROR(IFERROR(='입력데이터'!AJ100,0)/IFERROR(='입력데이터'!AK100,0),0)*30</x:f>
        <x:v>0</x:v>
      </x:c>
      <x:c r="AH100" s="15" t="n">
        <x:f>IFERROR(='입력데이터'!AJ100,0)*6+IFERROR(='입력데이터'!AH100,0)*4</x:f>
        <x:v>0</x:v>
      </x:c>
      <x:c r="AI100" s="15" t="n">
        <x:f>IFERROR(='입력데이터'!AP100,0)*0.4+IFERROR(='입력데이터'!AE100,0)*1.5+IFERROR(='입력데이터'!Q100,0)*1.5</x:f>
        <x:v>0</x:v>
      </x:c>
      <x:c r="AJ100" s="15" t="n">
        <x:f>MAX(0,IFERROR(='입력데이터'!P100,0)-IFERROR(='입력데이터'!Q100,0)*2-IFERROR(='입력데이터'!T100,0)*3-IFERROR(='입력데이터'!Z100,0))*1.5+IFERROR(='입력데이터'!Y100,0)*0.3</x:f>
        <x:v>0</x:v>
      </x:c>
      <x:c r="AK100" s="15" t="n">
        <x:f>IFERROR(='입력데이터'!V100,0)*0.6+IFERROR(='입력데이터'!U100,0)*2+IFERROR(='입력데이터'!T100,0)*3</x:f>
        <x:v>0</x:v>
      </x:c>
      <x:c r="AL100" s="15" t="n">
        <x:f>IFERROR(='입력데이터'!AB100,0)*0.7+IFERROR(='입력데이터'!AA100,0)*1.5</x:f>
        <x:v>0</x:v>
      </x:c>
      <x:c r="AM100" s="15" t="n">
        <x:f>IFERROR(='입력데이터'!AF100,0)*5+IFERROR(IFERROR(='입력데이터'!AF100,0)/IFERROR(='입력데이터'!AL100,0),0)*3+IFERROR(='입력데이터'!AT100,0)</x:f>
        <x:v>0</x:v>
      </x:c>
      <x:c r="AN100" s="15" t="n">
        <x:f>IFERROR(='입력데이터'!AF100,0)*3+IFERROR(='입력데이터'!AG100,0)*3+IFERROR(IFERROR(='입력데이터'!AF100,0)/IFERROR(='입력데이터'!AL100,0),0)*4</x:f>
        <x:v>0</x:v>
      </x:c>
      <x:c r="AO100" s="15" t="n">
        <x:f>IFERROR(='입력데이터'!AG100,0)*12+IFERROR(='입력데이터'!AU100,0)*6</x:f>
        <x:v>0</x:v>
      </x:c>
      <x:c r="AP100" s="15" t="n">
        <x:f>IFERROR(='입력데이터'!AH100,0)*14+IFERROR(='입력데이터'!AD100,0)</x:f>
        <x:v>0</x:v>
      </x:c>
      <x:c r="AQ100" s="15" t="n">
        <x:f>IFERROR(='입력데이터'!AC100,0)*10</x:f>
        <x:v>0</x:v>
      </x:c>
      <x:c r="AR100" s="15" t="n">
        <x:f>IFERROR(='입력데이터'!AD100,0)*7+IFERROR(='입력데이터'!AH100,0)*2</x:f>
        <x:v>0</x:v>
      </x:c>
      <x:c r="AS100" s="15" t="n">
        <x:f>IFERROR(='입력데이터'!AH100,0)*8+IFERROR(='입력데이터'!AD100,0)*2+IFERROR(='입력데이터'!AI100,0)*4</x:f>
        <x:v>0</x:v>
      </x:c>
      <x:c r="AT100" s="16" t="n">
        <x:f>IFERROR(='입력데이터'!AG100,0)*8+IFERROR(='입력데이터'!AI100,0)*5+IFERROR(='입력데이터'!AU100,0)*4</x:f>
        <x:v>0</x:v>
      </x:c>
    </x:row>
    <x:row r="101">
      <x:c r="A101" s="17" t="str">
        <x:f>IF('입력데이터'!$B101="","",'입력데이터'!A101)</x:f>
      </x:c>
      <x:c r="B101" s="18" t="str">
        <x:f>IF('입력데이터'!$B101="","",'입력데이터'!B101)</x:f>
      </x:c>
      <x:c r="C101" s="18" t="str">
        <x:f>IF('입력데이터'!$B101="","",'입력데이터'!K101)</x:f>
      </x:c>
      <x:c r="D101" s="18" t="str">
        <x:f>IF('입력데이터'!$B101="","",'입력데이터'!H101)</x:f>
      </x:c>
      <x:c r="E101" s="18" t="str">
        <x:f>IF('입력데이터'!$B101="","",'입력데이터'!I101)</x:f>
      </x:c>
      <x:c r="F101" s="18" t="str">
        <x:f>IF('입력데이터'!$B101="","",'입력데이터'!J101)</x:f>
      </x:c>
      <x:c r="G101" s="18" t="str">
        <x:f>IF('입력데이터'!$B101="","",'입력데이터'!L101)</x:f>
      </x:c>
      <x:c r="H101" s="18" t="str">
        <x:f>IF('입력데이터'!$B101="","",'입력데이터'!O101)</x:f>
      </x:c>
      <x:c r="I101" s="21" t="str">
        <x:f>IF($B101="", "", ROUND(MAX(30, MIN(99, IFERROR((AE101-MIN($AE$2:$AE$101))/(MAX($AE$2:$AE$101)-MIN($AE$2:$AE$101))*99,30))),0))</x:f>
      </x:c>
      <x:c r="J101" s="21" t="str">
        <x:f>IF($B101="", "", ROUND(MAX(30, MIN(99, IFERROR((AF101-MIN($AF$2:$AF$101))/(MAX($AF$2:$AF$101)-MIN($AF$2:$AF$101))*99,30))),0))</x:f>
      </x:c>
      <x:c r="K101" s="21" t="str">
        <x:f>IF($B101="", "", ROUND(MAX(30, MIN(99, IFERROR((AG101-MIN($AG$2:$AG$101))/(MAX($AG$2:$AG$101)-MIN($AG$2:$AG$101))*99,30))),0))</x:f>
      </x:c>
      <x:c r="L101" s="21" t="str">
        <x:f>IF($B101="", "", ROUND(MAX(30, MIN(99, IFERROR((AH101-MIN($AH$2:$AH$101))/(MAX($AH$2:$AH$101)-MIN($AH$2:$AH$101))*99,30))),0))</x:f>
      </x:c>
      <x:c r="M101" s="21" t="str">
        <x:f>IF($B101="", "", ROUND(MAX(30, MIN(99, IFERROR((AI101-MIN($AI$2:$AI$101))/(MAX($AI$2:$AI$101)-MIN($AI$2:$AI$101))*99,30))),0))</x:f>
      </x:c>
      <x:c r="N101" s="21" t="str">
        <x:f>IF($B101="", "", ROUND(MAX(30, MIN(99, IFERROR((AJ101-MIN($AJ$2:$AJ$101))/(MAX($AJ$2:$AJ$101)-MIN($AJ$2:$AJ$101))*99,30))),0))</x:f>
      </x:c>
      <x:c r="O101" s="21" t="str">
        <x:f>IF($B101="", "", ROUND(MAX(30, MIN(99, IFERROR((AK101-MIN($AK$2:$AK$101))/(MAX($AK$2:$AK$101)-MIN($AK$2:$AK$101))*99,30))),0))</x:f>
      </x:c>
      <x:c r="P101" s="21" t="str">
        <x:f>IF($B101="", "", ROUND(MAX(30, MIN(99, IFERROR((AL101-MIN($AL$2:$AL$101))/(MAX($AL$2:$AL$101)-MIN($AL$2:$AL$101))*99,30))),0))</x:f>
      </x:c>
      <x:c r="Q101" s="21" t="str">
        <x:f>IF($B101="", "", ROUND(MAX(30, MIN(99, IFERROR((AM101-MIN($AM$2:$AM$101))/(MAX($AM$2:$AM$101)-MIN($AM$2:$AM$101))*99,30))),0))</x:f>
      </x:c>
      <x:c r="R101" s="21" t="str">
        <x:f>IF($B101="", "", ROUND(MAX(30, MIN(99, IFERROR((AN101-MIN($AN$2:$AN$101))/(MAX($AN$2:$AN$101)-MIN($AN$2:$AN$101))*99,30))),0))</x:f>
      </x:c>
      <x:c r="S101" s="21" t="str">
        <x:f>IF($B101="", "", ROUND(MAX(30, MIN(99, IFERROR((AO101-MIN($AO$2:$AO$101))/(MAX($AO$2:$AO$101)-MIN($AO$2:$AO$101))*99,30))),0))</x:f>
      </x:c>
      <x:c r="T101" s="21" t="str">
        <x:f>IF($B101="", "", ROUND(MAX(30, MIN(99, IFERROR((AP101-MIN($AP$2:$AP$101))/(MAX($AP$2:$AP$101)-MIN($AP$2:$AP$101))*99,30))),0))</x:f>
      </x:c>
      <x:c r="U101" s="21" t="str">
        <x:f>IF($B101="", "", ROUND(MAX(30, MIN(99, IFERROR((AQ101-MIN($AQ$2:$AQ$101))/(MAX($AQ$2:$AQ$101)-MIN($AQ$2:$AQ$101))*99,30))),0))</x:f>
      </x:c>
      <x:c r="V101" s="21" t="str">
        <x:f>IF($B101="", "", ROUND(MAX(30, MIN(99, IFERROR((AR101-MIN($AR$2:$AR$101))/(MAX($AR$2:$AR$101)-MIN($AR$2:$AR$101))*99,30))),0))</x:f>
      </x:c>
      <x:c r="W101" s="21" t="str">
        <x:f>IF($B101="", "", ROUND(MAX(30, MIN(99, IFERROR((AS101-MIN($AS$2:$AS$101))/(MAX($AS$2:$AS$101)-MIN($AS$2:$AS$101))*99,30))),0))</x:f>
      </x:c>
      <x:c r="X101" s="21" t="str">
        <x:f>IF($B101="", "", ROUND(MAX(30, MIN(99, IFERROR((AT101-MIN($AT$2:$AT$101))/(MAX($AT$2:$AT$101)-MIN($AT$2:$AT$101))*99,30))),0))</x:f>
      </x:c>
      <x:c r="Y101" s="21" t="str">
        <x:f>IF($B101="","",ROUND(AVERAGE(I101:X101),0))</x:f>
      </x:c>
      <x:c r="Z101" s="21" t="str">
        <x:f>IF($B101="","",ROUND(MAX(30,MIN(99,IFS(ISNUMBER(SEARCH("PG",UPPER(SUBSTITUTE($C101,"/","-")))),84,ISNUMBER(SEARCH("SG",UPPER(SUBSTITUTE($C101,"/","-")))),76,ISNUMBER(SEARCH("SF",UPPER(SUBSTITUTE($C101,"/","-")))),68,ISNUMBER(SEARCH("PF",UPPER(SUBSTITUTE($C101,"/","-")))),55,ISNUMBER(SEARCH("C",UPPER(SUBSTITUTE($C101,"/","-")))),42,TRUE,65)+((195-IFERROR($D101,195))*0.15)+((95-IFERROR($E101,95))*0.08))),0))</x:f>
      </x:c>
      <x:c r="AA101" s="21" t="str">
        <x:f>IF($B101="","",ROUND(MAX(30,MIN(99,IFS(ISNUMBER(SEARCH("PG",UPPER(SUBSTITUTE($C101,"/","-")))),84,ISNUMBER(SEARCH("SG",UPPER(SUBSTITUTE($C101,"/","-")))),76,ISNUMBER(SEARCH("SF",UPPER(SUBSTITUTE($C101,"/","-")))),68,ISNUMBER(SEARCH("PF",UPPER(SUBSTITUTE($C101,"/","-")))),55,ISNUMBER(SEARCH("C",UPPER(SUBSTITUTE($C101,"/","-")))),42,TRUE,65)+((195-IFERROR($D101,195))*0.18)+((95-IFERROR($E101,95))*0.10))),0))</x:f>
      </x:c>
      <x:c r="AB101" s="21" t="str">
        <x:f>IF($B101="","",ROUND(MAX(30,MIN(99,IFS(ISNUMBER(SEARCH("PG",UPPER(SUBSTITUTE($C101,"/","-")))),84,ISNUMBER(SEARCH("SG",UPPER(SUBSTITUTE($C101,"/","-")))),76,ISNUMBER(SEARCH("SF",UPPER(SUBSTITUTE($C101,"/","-")))),68,ISNUMBER(SEARCH("PF",UPPER(SUBSTITUTE($C101,"/","-")))),55,ISNUMBER(SEARCH("C",UPPER(SUBSTITUTE($C101,"/","-")))),42,TRUE,65)+2+((195-IFERROR($D101,195))*0.14)+((95-IFERROR($E101,95))*0.09))),0))</x:f>
      </x:c>
      <x:c r="AC101" s="21" t="str">
        <x:f>IF($B101="","",ROUND(MAX(30,MIN(99,IFS(ISNUMBER(SEARCH("C",UPPER(SUBSTITUTE($C101,"/","-")))),92,ISNUMBER(SEARCH("PF",UPPER(SUBSTITUTE($C101,"/","-")))),82,ISNUMBER(SEARCH("SF",UPPER(SUBSTITUTE($C101,"/","-")))),64,ISNUMBER(SEARCH("SG",UPPER(SUBSTITUTE($C101,"/","-")))),48,ISNUMBER(SEARCH("PG",UPPER(SUBSTITUTE($C101,"/","-")))),36,TRUE,60)+((IFERROR($E101,95)-95)*0.45)+((IFERROR($D101,195)-195)*0.10)+((IFERROR($F101,200)-200)*0.08))),0))</x:f>
      </x:c>
      <x:c r="AD101" s="21" t="str">
        <x:f>IF($B101="","",ROUND(MAX(30,MIN(99,65+((IFERROR($F101,200)-200)*0.22)+((IFERROR($D101,195)-195)*0.08)-((IFERROR($E101,95)-95)*0.07))),0))</x:f>
      </x:c>
      <x:c r="AE101" s="18" t="n">
        <x:f>IFERROR(='입력데이터'!S101,0)*0.4+IFERROR(='입력데이터'!AP101,0)*0.4+IFERROR(='입력데이터'!AO101,0)*0.5</x:f>
        <x:v>0</x:v>
      </x:c>
      <x:c r="AF101" s="18" t="n">
        <x:f>IFERROR(='입력데이터'!S101,0)*0.5+IFERROR(='입력데이터'!P101,0)*0.8+IFERROR(='입력데이터'!AG101,0)</x:f>
        <x:v>0</x:v>
      </x:c>
      <x:c r="AG101" s="18" t="n">
        <x:f>IFERROR(='입력데이터'!AJ101,0)*8+IFERROR(IFERROR(='입력데이터'!AJ101,0)/IFERROR(='입력데이터'!AK101,0),0)*30</x:f>
        <x:v>0</x:v>
      </x:c>
      <x:c r="AH101" s="18" t="n">
        <x:f>IFERROR(='입력데이터'!AJ101,0)*6+IFERROR(='입력데이터'!AH101,0)*4</x:f>
        <x:v>0</x:v>
      </x:c>
      <x:c r="AI101" s="18" t="n">
        <x:f>IFERROR(='입력데이터'!AP101,0)*0.4+IFERROR(='입력데이터'!AE101,0)*1.5+IFERROR(='입력데이터'!Q101,0)*1.5</x:f>
        <x:v>0</x:v>
      </x:c>
      <x:c r="AJ101" s="18" t="n">
        <x:f>MAX(0,IFERROR(='입력데이터'!P101,0)-IFERROR(='입력데이터'!Q101,0)*2-IFERROR(='입력데이터'!T101,0)*3-IFERROR(='입력데이터'!Z101,0))*1.5+IFERROR(='입력데이터'!Y101,0)*0.3</x:f>
        <x:v>0</x:v>
      </x:c>
      <x:c r="AK101" s="18" t="n">
        <x:f>IFERROR(='입력데이터'!V101,0)*0.6+IFERROR(='입력데이터'!U101,0)*2+IFERROR(='입력데이터'!T101,0)*3</x:f>
        <x:v>0</x:v>
      </x:c>
      <x:c r="AL101" s="18" t="n">
        <x:f>IFERROR(='입력데이터'!AB101,0)*0.7+IFERROR(='입력데이터'!AA101,0)*1.5</x:f>
        <x:v>0</x:v>
      </x:c>
      <x:c r="AM101" s="18" t="n">
        <x:f>IFERROR(='입력데이터'!AF101,0)*5+IFERROR(IFERROR(='입력데이터'!AF101,0)/IFERROR(='입력데이터'!AL101,0),0)*3+IFERROR(='입력데이터'!AT101,0)</x:f>
        <x:v>0</x:v>
      </x:c>
      <x:c r="AN101" s="18" t="n">
        <x:f>IFERROR(='입력데이터'!AF101,0)*3+IFERROR(='입력데이터'!AG101,0)*3+IFERROR(IFERROR(='입력데이터'!AF101,0)/IFERROR(='입력데이터'!AL101,0),0)*4</x:f>
        <x:v>0</x:v>
      </x:c>
      <x:c r="AO101" s="18" t="n">
        <x:f>IFERROR(='입력데이터'!AG101,0)*12+IFERROR(='입력데이터'!AU101,0)*6</x:f>
        <x:v>0</x:v>
      </x:c>
      <x:c r="AP101" s="18" t="n">
        <x:f>IFERROR(='입력데이터'!AH101,0)*14+IFERROR(='입력데이터'!AD101,0)</x:f>
        <x:v>0</x:v>
      </x:c>
      <x:c r="AQ101" s="18" t="n">
        <x:f>IFERROR(='입력데이터'!AC101,0)*10</x:f>
        <x:v>0</x:v>
      </x:c>
      <x:c r="AR101" s="18" t="n">
        <x:f>IFERROR(='입력데이터'!AD101,0)*7+IFERROR(='입력데이터'!AH101,0)*2</x:f>
        <x:v>0</x:v>
      </x:c>
      <x:c r="AS101" s="18" t="n">
        <x:f>IFERROR(='입력데이터'!AH101,0)*8+IFERROR(='입력데이터'!AD101,0)*2+IFERROR(='입력데이터'!AI101,0)*4</x:f>
        <x:v>0</x:v>
      </x:c>
      <x:c r="AT101" s="19" t="n">
        <x:f>IFERROR(='입력데이터'!AG101,0)*8+IFERROR(='입력데이터'!AI101,0)*5+IFERROR(='입력데이터'!AU101,0)*4</x:f>
        <x:v>0</x:v>
      </x:c>
    </x:row>
  </x:sheetData>
  <x:conditionalFormatting sqref="I2:AD101">
    <x:cfRule type="colorScale" priority="1">
      <x:colorScale>
        <x:cfvo type="min"/>
        <x:cfvo type="percentile" val="50"/>
        <x:cfvo type="max"/>
        <x:color rgb="FFF97316"/>
        <x:color rgb="FFFDE68A"/>
        <x:color rgb="FF22C55E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5" hidden="0" customWidth="1"/>
  </x:cols>
  <x:sheetData>
    <x:row r="1">
      <x:c r="A1" s="22" t="str">
        <x:v>능력치 공식표</x:v>
      </x:c>
      <x:c r="B1" s="10"/>
    </x:row>
    <x:row r="3">
      <x:c r="A3" s="4" t="str">
        <x:v>능력치</x:v>
      </x:c>
      <x:c r="B3" s="5" t="str">
        <x:v>공식</x:v>
      </x:c>
    </x:row>
    <x:row r="4">
      <x:c r="A4" s="6" t="str">
        <x:v>근거리슛</x:v>
      </x:c>
      <x:c r="B4" s="7" t="str">
        <x:v>2P% × 0.4 + PP% × 0.4 + PPA × 0.5</x:v>
      </x:c>
    </x:row>
    <x:row r="5">
      <x:c r="A5" s="6" t="str">
        <x:v>드라이빙레이업</x:v>
      </x:c>
      <x:c r="B5" s="7" t="str">
        <x:v>2P% × 0.5 + PTS × 0.8 + STL × 1.0</x:v>
      </x:c>
    </x:row>
    <x:row r="6">
      <x:c r="A6" s="6" t="str">
        <x:v>드라이빙덩크</x:v>
      </x:c>
      <x:c r="B6" s="7" t="str">
        <x:v>DK × 8 + (DK/DKA) × 30</x:v>
      </x:c>
    </x:row>
    <x:row r="7">
      <x:c r="A7" s="6" t="str">
        <x:v>스탠딩덩크</x:v>
      </x:c>
      <x:c r="B7" s="7" t="str">
        <x:v>DK × 6 + BLK × 4</x:v>
      </x:c>
    </x:row>
    <x:row r="8">
      <x:c r="A8" s="6" t="str">
        <x:v>포스트컨트롤</x:v>
      </x:c>
      <x:c r="B8" s="7" t="str">
        <x:v>PP% × 0.4 + REB × 1.5 + 2PM × 1.5</x:v>
      </x:c>
    </x:row>
    <x:row r="9">
      <x:c r="A9" s="6" t="str">
        <x:v>중거리슛</x:v>
      </x:c>
      <x:c r="B9" s="7" t="str">
        <x:v>MAX(0, PTS - 2PM×2 - 3PM×3 - FTM) × 1.5 + FG% × 0.3</x:v>
      </x:c>
    </x:row>
    <x:row r="10">
      <x:c r="A10" s="6" t="str">
        <x:v>3점슛</x:v>
      </x:c>
      <x:c r="B10" s="7" t="str">
        <x:v>3P% × 0.6 + 3PA × 2 + 3PM × 3</x:v>
      </x:c>
    </x:row>
    <x:row r="11">
      <x:c r="A11" s="6" t="str">
        <x:v>자유투</x:v>
      </x:c>
      <x:c r="B11" s="7" t="str">
        <x:v>FT% × 0.7 + FTA × 1.5</x:v>
      </x:c>
    </x:row>
    <x:row r="12">
      <x:c r="A12" s="6" t="str">
        <x:v>패스</x:v>
      </x:c>
      <x:c r="B12" s="7" t="str">
        <x:v>AST × 5 + (AST/TO) × 3 + SAST</x:v>
      </x:c>
    </x:row>
    <x:row r="13">
      <x:c r="A13" s="6" t="str">
        <x:v>볼핸들링</x:v>
      </x:c>
      <x:c r="B13" s="7" t="str">
        <x:v>AST × 3 + STL × 3 + (AST/TO) × 4</x:v>
      </x:c>
    </x:row>
    <x:row r="14">
      <x:c r="A14" s="6" t="str">
        <x:v>스틸</x:v>
      </x:c>
      <x:c r="B14" s="7" t="str">
        <x:v>STL × 12 + DFL × 6</x:v>
      </x:c>
    </x:row>
    <x:row r="15">
      <x:c r="A15" s="6" t="str">
        <x:v>블록</x:v>
      </x:c>
      <x:c r="B15" s="7" t="str">
        <x:v>BLK × 14 + DREB</x:v>
      </x:c>
    </x:row>
    <x:row r="16">
      <x:c r="A16" s="6" t="str">
        <x:v>공격리바운드</x:v>
      </x:c>
      <x:c r="B16" s="7" t="str">
        <x:v>OREB × 10</x:v>
      </x:c>
    </x:row>
    <x:row r="17">
      <x:c r="A17" s="6" t="str">
        <x:v>수비리바운드</x:v>
      </x:c>
      <x:c r="B17" s="7" t="str">
        <x:v>DREB × 7 + BLK × 2</x:v>
      </x:c>
    </x:row>
    <x:row r="18">
      <x:c r="A18" s="6" t="str">
        <x:v>인사이드수비</x:v>
      </x:c>
      <x:c r="B18" s="7" t="str">
        <x:v>BLK × 8 + DREB × 2 + GD × 4</x:v>
      </x:c>
    </x:row>
    <x:row r="19">
      <x:c r="A19" s="6" t="str">
        <x:v>외곽수비</x:v>
      </x:c>
      <x:c r="B19" s="7" t="str">
        <x:v>STL × 8 + GD × 5 + DFL × 4</x:v>
      </x:c>
    </x:row>
    <x:row r="20">
      <x:c r="A20" s="6" t="str">
        <x:v>정규화</x:v>
      </x:c>
      <x:c r="B20" s="7" t="str">
        <x:v>(선수 RAW - 입력 선수풀 최소 RAW) / (최대 RAW - 최소 RAW) × 99, 최소 30 보장</x:v>
      </x:c>
    </x:row>
    <x:row r="21">
      <x:c r="A21" s="6" t="str">
        <x:v>OVR</x:v>
      </x:c>
      <x:c r="B21" s="7" t="str">
        <x:v>기록 기반 16개 능력치 평균</x:v>
      </x:c>
    </x:row>
    <x:row r="22">
      <x:c r="A22" s="8" t="str">
        <x:v>피지컬</x:v>
      </x:c>
      <x:c r="B22" s="9" t="str">
        <x:v>KBL_stat 없이 포지션, 신장, 체중, 윙스팬만으로 임시 계산</x:v>
      </x:c>
    </x:row>
  </x:sheetData>
  <x:mergeCells>
    <x:mergeCell ref="A1:B1"/>
  </x:mergeCells>
  <x:pageMargins left="0.7" right="0.7" top="0.75" bottom="0.75" header="0.3" footer="0.3"/>
</x:worksheet>
</file>